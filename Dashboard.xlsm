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tmp" ContentType="image/jpe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624"/>
  <workbookPr hidePivotFieldList="1" defaultThemeVersion="166925"/>
  <mc:AlternateContent xmlns:mc="http://schemas.openxmlformats.org/markup-compatibility/2006">
    <mc:Choice Requires="x15">
      <x15ac:absPath xmlns:x15ac="http://schemas.microsoft.com/office/spreadsheetml/2010/11/ac" url="C:\Users\Harsh\Desktop\"/>
    </mc:Choice>
  </mc:AlternateContent>
  <xr:revisionPtr revIDLastSave="0" documentId="13_ncr:40009_{9984076D-AD4A-4B93-AD02-74DA4B2A6972}" xr6:coauthVersionLast="45" xr6:coauthVersionMax="45" xr10:uidLastSave="{00000000-0000-0000-0000-000000000000}"/>
  <bookViews>
    <workbookView xWindow="-108" yWindow="-108" windowWidth="23256" windowHeight="12576" firstSheet="1" activeTab="4"/>
  </bookViews>
  <sheets>
    <sheet name="input_file_v1_dashboard" sheetId="1" state="hidden" r:id="rId1"/>
    <sheet name="Cases against Density" sheetId="9" r:id="rId2"/>
    <sheet name="Sheet9" sheetId="10" state="hidden" r:id="rId3"/>
    <sheet name="Mumbai Heat Map Data" sheetId="2" state="hidden" r:id="rId4"/>
    <sheet name="Dashboard" sheetId="8" r:id="rId5"/>
    <sheet name="MapPrint" sheetId="13" r:id="rId6"/>
  </sheets>
  <definedNames>
    <definedName name="_xlnm._FilterDatabase" localSheetId="0" hidden="1">input_file_v1_dashboard!$A$1:$T$26</definedName>
    <definedName name="Slicer_Ward">#N/A</definedName>
  </definedNames>
  <calcPr calcId="0"/>
  <pivotCaches>
    <pivotCache cacheId="86"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X2" i="2" l="1"/>
  <c r="X3" i="2"/>
  <c r="X4" i="2"/>
  <c r="X5" i="2"/>
  <c r="X6" i="2"/>
  <c r="X7" i="2"/>
  <c r="X8" i="2"/>
  <c r="X9" i="2"/>
  <c r="X10" i="2"/>
  <c r="X11" i="2"/>
  <c r="X12" i="2"/>
  <c r="X13" i="2"/>
  <c r="X14" i="2"/>
  <c r="X15" i="2"/>
  <c r="X16" i="2"/>
  <c r="X17" i="2"/>
  <c r="X18" i="2"/>
  <c r="X19" i="2"/>
  <c r="X20" i="2"/>
  <c r="X21" i="2"/>
  <c r="X22" i="2"/>
  <c r="X23" i="2"/>
  <c r="X24" i="2"/>
  <c r="X25" i="2"/>
  <c r="R30" i="2"/>
  <c r="Q30" i="2"/>
  <c r="P30" i="2"/>
  <c r="R27" i="2"/>
  <c r="Q27" i="2"/>
  <c r="P27" i="2"/>
  <c r="AE26" i="2"/>
  <c r="AD26" i="2"/>
  <c r="AC26" i="2"/>
  <c r="AB26" i="2"/>
  <c r="AA26" i="2"/>
  <c r="Z26" i="2"/>
  <c r="Y26" i="2"/>
  <c r="W26" i="2"/>
  <c r="V26" i="2"/>
  <c r="T26" i="2"/>
  <c r="R26" i="2"/>
  <c r="Q26" i="2"/>
  <c r="P26" i="2"/>
  <c r="U25" i="2"/>
  <c r="S25" i="2"/>
  <c r="S24" i="2"/>
  <c r="U24" i="2" s="1"/>
  <c r="S23" i="2"/>
  <c r="U23" i="2" s="1"/>
  <c r="S22" i="2"/>
  <c r="U22" i="2" s="1"/>
  <c r="S21" i="2"/>
  <c r="U21" i="2" s="1"/>
  <c r="S20" i="2"/>
  <c r="U20" i="2" s="1"/>
  <c r="S19" i="2"/>
  <c r="U19" i="2" s="1"/>
  <c r="S18" i="2"/>
  <c r="U18" i="2" s="1"/>
  <c r="U17" i="2"/>
  <c r="S17" i="2"/>
  <c r="S16" i="2"/>
  <c r="U16" i="2" s="1"/>
  <c r="S15" i="2"/>
  <c r="U15" i="2" s="1"/>
  <c r="S14" i="2"/>
  <c r="U14" i="2" s="1"/>
  <c r="S13" i="2"/>
  <c r="U13" i="2" s="1"/>
  <c r="S12" i="2"/>
  <c r="U12" i="2" s="1"/>
  <c r="S11" i="2"/>
  <c r="U11" i="2" s="1"/>
  <c r="S10" i="2"/>
  <c r="U10" i="2" s="1"/>
  <c r="S9" i="2"/>
  <c r="U9" i="2" s="1"/>
  <c r="S8" i="2"/>
  <c r="U8" i="2" s="1"/>
  <c r="S7" i="2"/>
  <c r="U7" i="2" s="1"/>
  <c r="S6" i="2"/>
  <c r="U6" i="2" s="1"/>
  <c r="U5" i="2"/>
  <c r="S5" i="2"/>
  <c r="S4" i="2"/>
  <c r="U4" i="2" s="1"/>
  <c r="S3" i="2"/>
  <c r="U3" i="2" s="1"/>
  <c r="S2" i="2"/>
  <c r="U2" i="2" s="1"/>
  <c r="K3" i="1"/>
  <c r="K4" i="1"/>
  <c r="K5" i="1"/>
  <c r="K6" i="1"/>
  <c r="K7" i="1"/>
  <c r="K8" i="1"/>
  <c r="K9" i="1"/>
  <c r="K10" i="1"/>
  <c r="K11" i="1"/>
  <c r="K12" i="1"/>
  <c r="K13" i="1"/>
  <c r="K14" i="1"/>
  <c r="K15" i="1"/>
  <c r="K16" i="1"/>
  <c r="K17" i="1"/>
  <c r="K18" i="1"/>
  <c r="K19" i="1"/>
  <c r="K20" i="1"/>
  <c r="K21" i="1"/>
  <c r="K22" i="1"/>
  <c r="K23" i="1"/>
  <c r="K24" i="1"/>
  <c r="K25" i="1"/>
  <c r="K26" i="1"/>
  <c r="K2" i="1"/>
  <c r="S26" i="2" l="1"/>
  <c r="U26" i="2" s="1"/>
  <c r="I3" i="1"/>
  <c r="I4" i="1"/>
  <c r="I5" i="1"/>
  <c r="I6" i="1"/>
  <c r="I7" i="1"/>
  <c r="I8" i="1"/>
  <c r="I9" i="1"/>
  <c r="I10" i="1"/>
  <c r="I11" i="1"/>
  <c r="I12" i="1"/>
  <c r="I13" i="1"/>
  <c r="I14" i="1"/>
  <c r="I15" i="1"/>
  <c r="I16" i="1"/>
  <c r="I17" i="1"/>
  <c r="I18" i="1"/>
  <c r="I19" i="1"/>
  <c r="I20" i="1"/>
  <c r="I21" i="1"/>
  <c r="I22" i="1"/>
  <c r="I23" i="1"/>
  <c r="I24" i="1"/>
  <c r="I25" i="1"/>
  <c r="I26" i="1"/>
  <c r="I2" i="1"/>
  <c r="T26" i="1"/>
  <c r="S26" i="1"/>
  <c r="R26" i="1"/>
  <c r="Q26" i="1"/>
  <c r="P26" i="1"/>
  <c r="O26" i="1"/>
  <c r="N26" i="1"/>
  <c r="M26" i="1"/>
  <c r="L26" i="1"/>
  <c r="J26" i="1"/>
  <c r="H26" i="1"/>
  <c r="G26" i="1"/>
  <c r="F26" i="1"/>
</calcChain>
</file>

<file path=xl/sharedStrings.xml><?xml version="1.0" encoding="utf-8"?>
<sst xmlns="http://schemas.openxmlformats.org/spreadsheetml/2006/main" count="569" uniqueCount="129">
  <si>
    <t>Country</t>
  </si>
  <si>
    <t>State</t>
  </si>
  <si>
    <t>City</t>
  </si>
  <si>
    <t>Ward location</t>
  </si>
  <si>
    <t>Ward</t>
  </si>
  <si>
    <t>Population</t>
  </si>
  <si>
    <t>Density per square kilometer</t>
  </si>
  <si>
    <t>Senior citizen %</t>
  </si>
  <si>
    <t>Area</t>
  </si>
  <si>
    <t>Educational institutes</t>
  </si>
  <si>
    <t>Hospitals</t>
  </si>
  <si>
    <t>Supermarts/malls</t>
  </si>
  <si>
    <t>Critical congestion points</t>
  </si>
  <si>
    <t>Commercial complexes</t>
  </si>
  <si>
    <t>Residential areas</t>
  </si>
  <si>
    <t>India</t>
  </si>
  <si>
    <t>Maharashtra</t>
  </si>
  <si>
    <t>Mumbai</t>
  </si>
  <si>
    <t>Colaba</t>
  </si>
  <si>
    <t>A</t>
  </si>
  <si>
    <t>Sanhurst Road</t>
  </si>
  <si>
    <t>B</t>
  </si>
  <si>
    <t>Marine Lines</t>
  </si>
  <si>
    <t>C</t>
  </si>
  <si>
    <t>Grant Road</t>
  </si>
  <si>
    <t>D</t>
  </si>
  <si>
    <t>Byculla</t>
  </si>
  <si>
    <t>E</t>
  </si>
  <si>
    <t>Parel</t>
  </si>
  <si>
    <t>F/S</t>
  </si>
  <si>
    <t>Matunga</t>
  </si>
  <si>
    <t>F/N</t>
  </si>
  <si>
    <t>Elphinstone</t>
  </si>
  <si>
    <t>G/S</t>
  </si>
  <si>
    <t>Dadar/Plaza</t>
  </si>
  <si>
    <t>G/N</t>
  </si>
  <si>
    <t>Khar/Santacruz</t>
  </si>
  <si>
    <t>H/E</t>
  </si>
  <si>
    <t>Bandra</t>
  </si>
  <si>
    <t>H/W</t>
  </si>
  <si>
    <t>Andheri (East)</t>
  </si>
  <si>
    <t>K/E</t>
  </si>
  <si>
    <t>Andheri (West)</t>
  </si>
  <si>
    <t>K/W</t>
  </si>
  <si>
    <t>Kurla</t>
  </si>
  <si>
    <t>L</t>
  </si>
  <si>
    <t>Chembur East</t>
  </si>
  <si>
    <t>M/E</t>
  </si>
  <si>
    <t>Chembur West</t>
  </si>
  <si>
    <t>M/W</t>
  </si>
  <si>
    <t>Ghatkopar</t>
  </si>
  <si>
    <t>N</t>
  </si>
  <si>
    <t>Goregaon</t>
  </si>
  <si>
    <t>P/S</t>
  </si>
  <si>
    <t>Malad</t>
  </si>
  <si>
    <t>P/N</t>
  </si>
  <si>
    <t>Kandivalli</t>
  </si>
  <si>
    <t>R/S</t>
  </si>
  <si>
    <t>Borivali West</t>
  </si>
  <si>
    <t>R/C</t>
  </si>
  <si>
    <t>Dahiser</t>
  </si>
  <si>
    <t>R/N</t>
  </si>
  <si>
    <t>Bhandup</t>
  </si>
  <si>
    <t>S</t>
  </si>
  <si>
    <t>Mulund</t>
  </si>
  <si>
    <t>T</t>
  </si>
  <si>
    <t>Total</t>
  </si>
  <si>
    <t>Number of Cases- Very Congested Area</t>
  </si>
  <si>
    <t>Number of Cases- Medium Congested</t>
  </si>
  <si>
    <t>Number of Cases- Standalone Structure</t>
  </si>
  <si>
    <t>latitude</t>
  </si>
  <si>
    <t>longitude</t>
  </si>
  <si>
    <t>formattedAddress</t>
  </si>
  <si>
    <t>road</t>
  </si>
  <si>
    <t>suburb</t>
  </si>
  <si>
    <t>county</t>
  </si>
  <si>
    <t>district</t>
  </si>
  <si>
    <t>postcode</t>
  </si>
  <si>
    <t>Pandit Jawaharlal Nehru Road</t>
  </si>
  <si>
    <t>T Ward</t>
  </si>
  <si>
    <t>Mumbai Suburban</t>
  </si>
  <si>
    <t>Lokmanya Tilak Road</t>
  </si>
  <si>
    <t>R/C Ward</t>
  </si>
  <si>
    <t>400 092</t>
  </si>
  <si>
    <t>S Ward</t>
  </si>
  <si>
    <t>Maharshi Karve Road</t>
  </si>
  <si>
    <t>C Ward</t>
  </si>
  <si>
    <t>Mumbai City</t>
  </si>
  <si>
    <t>Kharadi</t>
  </si>
  <si>
    <t>Pune District</t>
  </si>
  <si>
    <t>Lakhamsi Nappu Road</t>
  </si>
  <si>
    <t>F/N Ward</t>
  </si>
  <si>
    <t>Dr Baba Saheb Ambedkar Marg (Victoria Garden Road)</t>
  </si>
  <si>
    <t>E Ward</t>
  </si>
  <si>
    <t>F/S Ward</t>
  </si>
  <si>
    <t>Dr Babasaheb Ambedkar Marg (Vincent Road)</t>
  </si>
  <si>
    <t>P D' Mello Road</t>
  </si>
  <si>
    <t>A Ward</t>
  </si>
  <si>
    <t>Gurunanak Marg (Turner Road)</t>
  </si>
  <si>
    <t>Bandra West</t>
  </si>
  <si>
    <t>Sahar Road</t>
  </si>
  <si>
    <t>K/E Ward</t>
  </si>
  <si>
    <t>Andheri Bus Stn</t>
  </si>
  <si>
    <t>K/W Ward</t>
  </si>
  <si>
    <t>Mother Dairy Road</t>
  </si>
  <si>
    <t>L Ward</t>
  </si>
  <si>
    <t>Santa Cruz – Chembur Link Road</t>
  </si>
  <si>
    <t>Station Road</t>
  </si>
  <si>
    <t>N Ward</t>
  </si>
  <si>
    <t>Goregaon Link Road</t>
  </si>
  <si>
    <t>P/N Ward</t>
  </si>
  <si>
    <t>P/S Ward</t>
  </si>
  <si>
    <t>Nanabhai Moos Marg (Upper Colaba Road)</t>
  </si>
  <si>
    <t>Total number of cases</t>
  </si>
  <si>
    <t>Row Labels</t>
  </si>
  <si>
    <t>Grand Total</t>
  </si>
  <si>
    <t>Population affected per case</t>
  </si>
  <si>
    <t>state2</t>
  </si>
  <si>
    <t>country3</t>
  </si>
  <si>
    <t>Very Congested Area</t>
  </si>
  <si>
    <t>Medium Congested</t>
  </si>
  <si>
    <t>Standalone Structure</t>
  </si>
  <si>
    <t>Total cases</t>
  </si>
  <si>
    <t>Density per sq km</t>
  </si>
  <si>
    <t>Population.</t>
  </si>
  <si>
    <t>Population per square kilometers</t>
  </si>
  <si>
    <t>Educational institute</t>
  </si>
  <si>
    <t>Hospitals.</t>
  </si>
  <si>
    <t>Sum of Supermart/malls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</si>
</sst>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theme="7" tint="0.79998168889431442"/>
        <bgColor indexed="64"/>
      </patternFill>
    </fill>
    <fill>
      <patternFill patternType="solid">
        <fgColor theme="7" tint="0.39997558519241921"/>
        <bgColor theme="1"/>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1"/>
      </top>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0" fillId="0" borderId="0" xfId="0" pivotButton="1"/>
    <xf numFmtId="0" fontId="0" fillId="0" borderId="0" xfId="0" applyAlignment="1">
      <alignment horizontal="left"/>
    </xf>
    <xf numFmtId="0" fontId="0" fillId="0" borderId="0" xfId="0" applyNumberFormat="1"/>
    <xf numFmtId="0" fontId="13" fillId="33" borderId="10" xfId="0" applyFont="1" applyFill="1" applyBorder="1"/>
    <xf numFmtId="2" fontId="0" fillId="0" borderId="0" xfId="0" applyNumberFormat="1"/>
    <xf numFmtId="0" fontId="0" fillId="34" borderId="11" xfId="0" applyFont="1" applyFill="1" applyBorder="1" applyAlignment="1">
      <alignment horizontal="center" vertical="center"/>
    </xf>
    <xf numFmtId="0" fontId="18" fillId="35" borderId="11"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[Dashboard.xlsm]Cases against Density!PivotTable15</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'Cases against Density'!$C$3</c:f>
              <c:strCache>
                <c:ptCount val="1"/>
                <c:pt idx="0">
                  <c:v>Density per sq km</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Density'!$C$4:$C$28</c:f>
              <c:numCache>
                <c:formatCode>General</c:formatCode>
                <c:ptCount val="24"/>
                <c:pt idx="0">
                  <c:v>32688</c:v>
                </c:pt>
                <c:pt idx="1">
                  <c:v>29956</c:v>
                </c:pt>
                <c:pt idx="2">
                  <c:v>29211</c:v>
                </c:pt>
                <c:pt idx="3">
                  <c:v>10800</c:v>
                </c:pt>
                <c:pt idx="4">
                  <c:v>33177</c:v>
                </c:pt>
                <c:pt idx="5">
                  <c:v>59505</c:v>
                </c:pt>
                <c:pt idx="6">
                  <c:v>20765</c:v>
                </c:pt>
                <c:pt idx="7">
                  <c:v>21233</c:v>
                </c:pt>
                <c:pt idx="8">
                  <c:v>16868</c:v>
                </c:pt>
                <c:pt idx="9">
                  <c:v>45793</c:v>
                </c:pt>
                <c:pt idx="10">
                  <c:v>10262</c:v>
                </c:pt>
                <c:pt idx="11">
                  <c:v>64168</c:v>
                </c:pt>
                <c:pt idx="12">
                  <c:v>23866</c:v>
                </c:pt>
                <c:pt idx="13">
                  <c:v>41651</c:v>
                </c:pt>
                <c:pt idx="14">
                  <c:v>57744</c:v>
                </c:pt>
                <c:pt idx="15">
                  <c:v>20213</c:v>
                </c:pt>
                <c:pt idx="16">
                  <c:v>42929</c:v>
                </c:pt>
                <c:pt idx="17">
                  <c:v>49006</c:v>
                </c:pt>
                <c:pt idx="18">
                  <c:v>17915</c:v>
                </c:pt>
                <c:pt idx="19">
                  <c:v>114001</c:v>
                </c:pt>
                <c:pt idx="20">
                  <c:v>28294</c:v>
                </c:pt>
                <c:pt idx="21">
                  <c:v>7270</c:v>
                </c:pt>
                <c:pt idx="22">
                  <c:v>40400</c:v>
                </c:pt>
                <c:pt idx="23">
                  <c:v>56936</c:v>
                </c:pt>
              </c:numCache>
            </c:numRef>
          </c:val>
          <c:extLst>
            <c:ext xmlns:c16="http://schemas.microsoft.com/office/drawing/2014/chart" uri="{C3380CC4-5D6E-409C-BE32-E72D297353CC}">
              <c16:uniqueId val="{00000001-992D-4F75-9330-BD25AB87F020}"/>
            </c:ext>
          </c:extLst>
        </c:ser>
        <c:ser>
          <c:idx val="2"/>
          <c:order val="2"/>
          <c:tx>
            <c:strRef>
              <c:f>'Cases against Density'!$D$3</c:f>
              <c:strCache>
                <c:ptCount val="1"/>
                <c:pt idx="0">
                  <c:v>Population.</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Density'!$D$4:$D$28</c:f>
              <c:numCache>
                <c:formatCode>General</c:formatCode>
                <c:ptCount val="24"/>
                <c:pt idx="0">
                  <c:v>810002</c:v>
                </c:pt>
                <c:pt idx="1">
                  <c:v>700680</c:v>
                </c:pt>
                <c:pt idx="2">
                  <c:v>337391</c:v>
                </c:pt>
                <c:pt idx="3">
                  <c:v>691227</c:v>
                </c:pt>
                <c:pt idx="4">
                  <c:v>589886</c:v>
                </c:pt>
                <c:pt idx="5">
                  <c:v>440335</c:v>
                </c:pt>
                <c:pt idx="6">
                  <c:v>674850</c:v>
                </c:pt>
                <c:pt idx="7">
                  <c:v>414040</c:v>
                </c:pt>
                <c:pt idx="8">
                  <c:v>210847</c:v>
                </c:pt>
                <c:pt idx="9">
                  <c:v>457931</c:v>
                </c:pt>
                <c:pt idx="10">
                  <c:v>513077</c:v>
                </c:pt>
                <c:pt idx="11">
                  <c:v>582007</c:v>
                </c:pt>
                <c:pt idx="12">
                  <c:v>619556</c:v>
                </c:pt>
                <c:pt idx="13">
                  <c:v>796775</c:v>
                </c:pt>
                <c:pt idx="14">
                  <c:v>382841</c:v>
                </c:pt>
                <c:pt idx="15">
                  <c:v>363827</c:v>
                </c:pt>
                <c:pt idx="16">
                  <c:v>580835</c:v>
                </c:pt>
                <c:pt idx="17">
                  <c:v>778218</c:v>
                </c:pt>
                <c:pt idx="18">
                  <c:v>437849</c:v>
                </c:pt>
                <c:pt idx="19">
                  <c:v>202922</c:v>
                </c:pt>
                <c:pt idx="20">
                  <c:v>396122</c:v>
                </c:pt>
                <c:pt idx="21">
                  <c:v>330195</c:v>
                </c:pt>
                <c:pt idx="22">
                  <c:v>524393</c:v>
                </c:pt>
                <c:pt idx="23">
                  <c:v>140633</c:v>
                </c:pt>
              </c:numCache>
            </c:numRef>
          </c:val>
          <c:extLst>
            <c:ext xmlns:c16="http://schemas.microsoft.com/office/drawing/2014/chart" uri="{C3380CC4-5D6E-409C-BE32-E72D297353CC}">
              <c16:uniqueId val="{00000002-992D-4F75-9330-BD25AB87F020}"/>
            </c:ext>
          </c:extLst>
        </c:ser>
        <c:dLbls>
          <c:showLegendKey val="0"/>
          <c:showVal val="0"/>
          <c:showCatName val="0"/>
          <c:showSerName val="0"/>
          <c:showPercent val="0"/>
          <c:showBubbleSize val="0"/>
        </c:dLbls>
        <c:gapWidth val="219"/>
        <c:axId val="1110783759"/>
        <c:axId val="1123662015"/>
      </c:barChart>
      <c:lineChart>
        <c:grouping val="stacked"/>
        <c:varyColors val="0"/>
        <c:ser>
          <c:idx val="0"/>
          <c:order val="0"/>
          <c:tx>
            <c:strRef>
              <c:f>'Cases against Density'!$B$3</c:f>
              <c:strCache>
                <c:ptCount val="1"/>
                <c:pt idx="0">
                  <c:v>Total cases</c:v>
                </c:pt>
              </c:strCache>
            </c:strRef>
          </c:tx>
          <c:spPr>
            <a:ln w="28575" cap="rnd">
              <a:solidFill>
                <a:schemeClr val="accent1"/>
              </a:solidFill>
              <a:round/>
            </a:ln>
            <a:effectLst/>
          </c:spPr>
          <c:marker>
            <c:symbol val="none"/>
          </c:marker>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Density'!$B$4:$B$28</c:f>
              <c:numCache>
                <c:formatCode>General</c:formatCode>
                <c:ptCount val="24"/>
                <c:pt idx="0">
                  <c:v>34</c:v>
                </c:pt>
                <c:pt idx="1">
                  <c:v>46</c:v>
                </c:pt>
                <c:pt idx="2">
                  <c:v>16</c:v>
                </c:pt>
                <c:pt idx="3">
                  <c:v>31</c:v>
                </c:pt>
                <c:pt idx="4">
                  <c:v>6</c:v>
                </c:pt>
                <c:pt idx="5">
                  <c:v>10</c:v>
                </c:pt>
                <c:pt idx="6">
                  <c:v>4</c:v>
                </c:pt>
                <c:pt idx="7">
                  <c:v>8</c:v>
                </c:pt>
                <c:pt idx="8">
                  <c:v>6</c:v>
                </c:pt>
                <c:pt idx="9">
                  <c:v>18</c:v>
                </c:pt>
                <c:pt idx="10">
                  <c:v>9</c:v>
                </c:pt>
                <c:pt idx="11">
                  <c:v>55</c:v>
                </c:pt>
                <c:pt idx="12">
                  <c:v>20</c:v>
                </c:pt>
                <c:pt idx="13">
                  <c:v>15</c:v>
                </c:pt>
                <c:pt idx="14">
                  <c:v>24</c:v>
                </c:pt>
                <c:pt idx="15">
                  <c:v>23</c:v>
                </c:pt>
                <c:pt idx="16">
                  <c:v>28</c:v>
                </c:pt>
                <c:pt idx="17">
                  <c:v>40</c:v>
                </c:pt>
                <c:pt idx="18">
                  <c:v>49</c:v>
                </c:pt>
                <c:pt idx="19">
                  <c:v>12</c:v>
                </c:pt>
                <c:pt idx="20">
                  <c:v>15</c:v>
                </c:pt>
                <c:pt idx="21">
                  <c:v>8</c:v>
                </c:pt>
                <c:pt idx="22">
                  <c:v>14</c:v>
                </c:pt>
                <c:pt idx="23">
                  <c:v>15</c:v>
                </c:pt>
              </c:numCache>
            </c:numRef>
          </c:val>
          <c:smooth val="0"/>
          <c:extLst>
            <c:ext xmlns:c16="http://schemas.microsoft.com/office/drawing/2014/chart" uri="{C3380CC4-5D6E-409C-BE32-E72D297353CC}">
              <c16:uniqueId val="{00000000-992D-4F75-9330-BD25AB87F020}"/>
            </c:ext>
          </c:extLst>
        </c:ser>
        <c:dLbls>
          <c:showLegendKey val="0"/>
          <c:showVal val="0"/>
          <c:showCatName val="0"/>
          <c:showSerName val="0"/>
          <c:showPercent val="0"/>
          <c:showBubbleSize val="0"/>
        </c:dLbls>
        <c:marker val="1"/>
        <c:smooth val="0"/>
        <c:axId val="715461823"/>
        <c:axId val="1325754431"/>
      </c:lineChart>
      <c:valAx>
        <c:axId val="1325754431"/>
        <c:scaling>
          <c:orientation val="minMax"/>
        </c:scaling>
        <c:delete val="0"/>
        <c:axPos val="r"/>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461823"/>
        <c:crosses val="max"/>
        <c:crossBetween val="between"/>
      </c:valAx>
      <c:catAx>
        <c:axId val="7154618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5754431"/>
        <c:auto val="1"/>
        <c:lblAlgn val="ctr"/>
        <c:lblOffset val="100"/>
        <c:noMultiLvlLbl val="0"/>
      </c:catAx>
      <c:valAx>
        <c:axId val="11236620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0783759"/>
        <c:crossBetween val="between"/>
      </c:valAx>
      <c:catAx>
        <c:axId val="1110783759"/>
        <c:scaling>
          <c:orientation val="minMax"/>
        </c:scaling>
        <c:delete val="1"/>
        <c:axPos val="b"/>
        <c:numFmt formatCode="General" sourceLinked="1"/>
        <c:majorTickMark val="out"/>
        <c:minorTickMark val="none"/>
        <c:tickLblPos val="nextTo"/>
        <c:crossAx val="1123662015"/>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[Dashboard.xlsm]Sheet9!PivotTable16</c:name>
    <c:fmtId val="3"/>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Sheet9!$B$4:$B$28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0424-4166-BAC2-5F176D94BFC5}"/>
            </c:ext>
          </c:extLst>
        </c:ser>
        <c:dLbls>
          <c:showLegendKey val="0"/>
          <c:showVal val="0"/>
          <c:showCatName val="0"/>
          <c:showSerName val="0"/>
          <c:showPercent val="0"/>
          <c:showBubbleSize val="0"/>
        </c:dLbls>
        <c:gapWidth val="219"/>
        <c:overlap val="-27"/>
        <c:axId val="775310207"/>
        <c:axId val="718664255"/>
      </c:barChart>
      <c:lineChart>
        <c:grouping val="standard"/>
        <c:varyColors val="0"/>
        <c:ser>
          <c:idx val="1"/>
          <c:order val="1"/>
          <c:tx>
            <c:strRef>
              <c:f>Sheet9!$C$3</c:f>
              <c:strCache>
                <c:ptCount val="1"/>
                <c:pt idx="0">
                  <c:v>Educational institute</c:v>
                </c:pt>
              </c:strCache>
            </c:strRef>
          </c:tx>
          <c:spPr>
            <a:ln w="28575" cap="rnd">
              <a:solidFill>
                <a:schemeClr val="accent2"/>
              </a:solidFill>
              <a:round/>
            </a:ln>
            <a:effectLst/>
          </c:spPr>
          <c:marker>
            <c:symbol val="circle"/>
            <c:size val="6"/>
            <c:spPr>
              <a:solidFill>
                <a:schemeClr val="accent2"/>
              </a:solidFill>
              <a:ln>
                <a:noFill/>
              </a:ln>
              <a:effectLst/>
            </c:spPr>
          </c:marker>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Sheet9!$C$4:$C$28</c:f>
              <c:numCache>
                <c:formatCode>General</c:formatCode>
                <c:ptCount val="24"/>
                <c:pt idx="0">
                  <c:v>54</c:v>
                </c:pt>
                <c:pt idx="1">
                  <c:v>48</c:v>
                </c:pt>
                <c:pt idx="2">
                  <c:v>43</c:v>
                </c:pt>
                <c:pt idx="3">
                  <c:v>23</c:v>
                </c:pt>
                <c:pt idx="4">
                  <c:v>32</c:v>
                </c:pt>
                <c:pt idx="5">
                  <c:v>42</c:v>
                </c:pt>
                <c:pt idx="6">
                  <c:v>53</c:v>
                </c:pt>
                <c:pt idx="7">
                  <c:v>54</c:v>
                </c:pt>
                <c:pt idx="8">
                  <c:v>33</c:v>
                </c:pt>
                <c:pt idx="9">
                  <c:v>54</c:v>
                </c:pt>
                <c:pt idx="10">
                  <c:v>65</c:v>
                </c:pt>
                <c:pt idx="11">
                  <c:v>45</c:v>
                </c:pt>
                <c:pt idx="12">
                  <c:v>34</c:v>
                </c:pt>
                <c:pt idx="13">
                  <c:v>32</c:v>
                </c:pt>
                <c:pt idx="14">
                  <c:v>23</c:v>
                </c:pt>
                <c:pt idx="15">
                  <c:v>65</c:v>
                </c:pt>
                <c:pt idx="16">
                  <c:v>45</c:v>
                </c:pt>
                <c:pt idx="17">
                  <c:v>54</c:v>
                </c:pt>
                <c:pt idx="18">
                  <c:v>65</c:v>
                </c:pt>
                <c:pt idx="19">
                  <c:v>77</c:v>
                </c:pt>
                <c:pt idx="20">
                  <c:v>45</c:v>
                </c:pt>
                <c:pt idx="21">
                  <c:v>75</c:v>
                </c:pt>
                <c:pt idx="22">
                  <c:v>56</c:v>
                </c:pt>
                <c:pt idx="23">
                  <c:v>67</c:v>
                </c:pt>
              </c:numCache>
            </c:numRef>
          </c:val>
          <c:smooth val="0"/>
          <c:extLst>
            <c:ext xmlns:c16="http://schemas.microsoft.com/office/drawing/2014/chart" uri="{C3380CC4-5D6E-409C-BE32-E72D297353CC}">
              <c16:uniqueId val="{00000001-0424-4166-BAC2-5F176D94BFC5}"/>
            </c:ext>
          </c:extLst>
        </c:ser>
        <c:dLbls>
          <c:showLegendKey val="0"/>
          <c:showVal val="0"/>
          <c:showCatName val="0"/>
          <c:showSerName val="0"/>
          <c:showPercent val="0"/>
          <c:showBubbleSize val="0"/>
        </c:dLbls>
        <c:marker val="1"/>
        <c:smooth val="0"/>
        <c:axId val="760777663"/>
        <c:axId val="718666751"/>
      </c:lineChart>
      <c:catAx>
        <c:axId val="77531020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64255"/>
        <c:crosses val="autoZero"/>
        <c:auto val="1"/>
        <c:lblAlgn val="ctr"/>
        <c:lblOffset val="100"/>
        <c:noMultiLvlLbl val="0"/>
      </c:catAx>
      <c:valAx>
        <c:axId val="718664255"/>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310207"/>
        <c:crosses val="autoZero"/>
        <c:crossBetween val="between"/>
      </c:valAx>
      <c:valAx>
        <c:axId val="71866675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777663"/>
        <c:crosses val="max"/>
        <c:crossBetween val="between"/>
      </c:valAx>
      <c:catAx>
        <c:axId val="760777663"/>
        <c:scaling>
          <c:orientation val="minMax"/>
        </c:scaling>
        <c:delete val="1"/>
        <c:axPos val="b"/>
        <c:numFmt formatCode="General" sourceLinked="1"/>
        <c:majorTickMark val="none"/>
        <c:minorTickMark val="none"/>
        <c:tickLblPos val="nextTo"/>
        <c:crossAx val="718666751"/>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[Dashboard.xlsm]Sheet9!PivotTable17</c:name>
    <c:fmtId val="0"/>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Sheet9!$F$3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Sheet9!$F$4:$F$28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DA42-4CD5-8122-51D5EC2CA0BA}"/>
            </c:ext>
          </c:extLst>
        </c:ser>
        <c:dLbls>
          <c:showLegendKey val="0"/>
          <c:showVal val="0"/>
          <c:showCatName val="0"/>
          <c:showSerName val="0"/>
          <c:showPercent val="0"/>
          <c:showBubbleSize val="0"/>
        </c:dLbls>
        <c:gapWidth val="219"/>
        <c:axId val="1972251695"/>
        <c:axId val="1997782431"/>
      </c:barChart>
      <c:lineChart>
        <c:grouping val="standard"/>
        <c:varyColors val="0"/>
        <c:ser>
          <c:idx val="1"/>
          <c:order val="1"/>
          <c:tx>
            <c:strRef>
              <c:f>Sheet9!$G$3</c:f>
              <c:strCache>
                <c:ptCount val="1"/>
                <c:pt idx="0">
                  <c:v>Hospitals.</c:v>
                </c:pt>
              </c:strCache>
            </c:strRef>
          </c:tx>
          <c:spPr>
            <a:ln w="28575" cap="rnd">
              <a:solidFill>
                <a:schemeClr val="accent2"/>
              </a:solidFill>
              <a:round/>
            </a:ln>
            <a:effectLst/>
          </c:spPr>
          <c:marker>
            <c:symbol val="circle"/>
            <c:size val="6"/>
            <c:spPr>
              <a:solidFill>
                <a:schemeClr val="accent2"/>
              </a:solidFill>
              <a:ln>
                <a:noFill/>
              </a:ln>
              <a:effectLst/>
            </c:spPr>
          </c:marker>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Sheet9!$G$4:$G$28</c:f>
              <c:numCache>
                <c:formatCode>General</c:formatCode>
                <c:ptCount val="24"/>
                <c:pt idx="0">
                  <c:v>40</c:v>
                </c:pt>
                <c:pt idx="1">
                  <c:v>32</c:v>
                </c:pt>
                <c:pt idx="2">
                  <c:v>23</c:v>
                </c:pt>
                <c:pt idx="3">
                  <c:v>43</c:v>
                </c:pt>
                <c:pt idx="4">
                  <c:v>57</c:v>
                </c:pt>
                <c:pt idx="5">
                  <c:v>43</c:v>
                </c:pt>
                <c:pt idx="6">
                  <c:v>32</c:v>
                </c:pt>
                <c:pt idx="7">
                  <c:v>21</c:v>
                </c:pt>
                <c:pt idx="8">
                  <c:v>33</c:v>
                </c:pt>
                <c:pt idx="9">
                  <c:v>23</c:v>
                </c:pt>
                <c:pt idx="10">
                  <c:v>42</c:v>
                </c:pt>
                <c:pt idx="11">
                  <c:v>24</c:v>
                </c:pt>
                <c:pt idx="12">
                  <c:v>23</c:v>
                </c:pt>
                <c:pt idx="13">
                  <c:v>23</c:v>
                </c:pt>
                <c:pt idx="14">
                  <c:v>23</c:v>
                </c:pt>
                <c:pt idx="15">
                  <c:v>43</c:v>
                </c:pt>
                <c:pt idx="16">
                  <c:v>34</c:v>
                </c:pt>
                <c:pt idx="17">
                  <c:v>53</c:v>
                </c:pt>
                <c:pt idx="18">
                  <c:v>54</c:v>
                </c:pt>
                <c:pt idx="19">
                  <c:v>34</c:v>
                </c:pt>
                <c:pt idx="20">
                  <c:v>45</c:v>
                </c:pt>
                <c:pt idx="21">
                  <c:v>34</c:v>
                </c:pt>
                <c:pt idx="22">
                  <c:v>34</c:v>
                </c:pt>
                <c:pt idx="23">
                  <c:v>34</c:v>
                </c:pt>
              </c:numCache>
            </c:numRef>
          </c:val>
          <c:smooth val="0"/>
          <c:extLst>
            <c:ext xmlns:c16="http://schemas.microsoft.com/office/drawing/2014/chart" uri="{C3380CC4-5D6E-409C-BE32-E72D297353CC}">
              <c16:uniqueId val="{00000001-DA42-4CD5-8122-51D5EC2CA0BA}"/>
            </c:ext>
          </c:extLst>
        </c:ser>
        <c:dLbls>
          <c:showLegendKey val="0"/>
          <c:showVal val="0"/>
          <c:showCatName val="0"/>
          <c:showSerName val="0"/>
          <c:showPercent val="0"/>
          <c:showBubbleSize val="0"/>
        </c:dLbls>
        <c:marker val="1"/>
        <c:smooth val="0"/>
        <c:axId val="779187679"/>
        <c:axId val="767753615"/>
      </c:lineChart>
      <c:catAx>
        <c:axId val="197225169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782431"/>
        <c:crosses val="autoZero"/>
        <c:auto val="1"/>
        <c:lblAlgn val="ctr"/>
        <c:lblOffset val="100"/>
        <c:noMultiLvlLbl val="0"/>
      </c:catAx>
      <c:valAx>
        <c:axId val="1997782431"/>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251695"/>
        <c:crosses val="autoZero"/>
        <c:crossBetween val="between"/>
      </c:valAx>
      <c:valAx>
        <c:axId val="767753615"/>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187679"/>
        <c:crosses val="max"/>
        <c:crossBetween val="between"/>
      </c:valAx>
      <c:catAx>
        <c:axId val="779187679"/>
        <c:scaling>
          <c:orientation val="minMax"/>
        </c:scaling>
        <c:delete val="1"/>
        <c:axPos val="b"/>
        <c:numFmt formatCode="General" sourceLinked="1"/>
        <c:majorTickMark val="none"/>
        <c:minorTickMark val="none"/>
        <c:tickLblPos val="nextTo"/>
        <c:crossAx val="767753615"/>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[Dashboard.xlsm]Sheet9!PivotTable18</c:name>
    <c:fmtId val="0"/>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Sheet9!$J$3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Sheet9!$J$4:$J$28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C497-4BC0-B82B-F37B7CC3E755}"/>
            </c:ext>
          </c:extLst>
        </c:ser>
        <c:dLbls>
          <c:showLegendKey val="0"/>
          <c:showVal val="0"/>
          <c:showCatName val="0"/>
          <c:showSerName val="0"/>
          <c:showPercent val="0"/>
          <c:showBubbleSize val="0"/>
        </c:dLbls>
        <c:gapWidth val="219"/>
        <c:overlap val="-27"/>
        <c:axId val="1126000351"/>
        <c:axId val="718669663"/>
      </c:barChart>
      <c:lineChart>
        <c:grouping val="standard"/>
        <c:varyColors val="0"/>
        <c:ser>
          <c:idx val="1"/>
          <c:order val="1"/>
          <c:tx>
            <c:strRef>
              <c:f>Sheet9!$K$3</c:f>
              <c:strCache>
                <c:ptCount val="1"/>
                <c:pt idx="0">
                  <c:v>Sum of Supermart/malls</c:v>
                </c:pt>
              </c:strCache>
            </c:strRef>
          </c:tx>
          <c:spPr>
            <a:ln w="28575" cap="rnd">
              <a:solidFill>
                <a:schemeClr val="accent2"/>
              </a:solidFill>
              <a:round/>
            </a:ln>
            <a:effectLst/>
          </c:spPr>
          <c:marker>
            <c:symbol val="circle"/>
            <c:size val="6"/>
            <c:spPr>
              <a:solidFill>
                <a:schemeClr val="accent2"/>
              </a:solidFill>
              <a:ln>
                <a:noFill/>
              </a:ln>
              <a:effectLst/>
            </c:spPr>
          </c:marker>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Sheet9!$K$4:$K$28</c:f>
              <c:numCache>
                <c:formatCode>General</c:formatCode>
                <c:ptCount val="24"/>
                <c:pt idx="0">
                  <c:v>20</c:v>
                </c:pt>
                <c:pt idx="1">
                  <c:v>32</c:v>
                </c:pt>
                <c:pt idx="2">
                  <c:v>21</c:v>
                </c:pt>
                <c:pt idx="3">
                  <c:v>21</c:v>
                </c:pt>
                <c:pt idx="4">
                  <c:v>12</c:v>
                </c:pt>
                <c:pt idx="5">
                  <c:v>21</c:v>
                </c:pt>
                <c:pt idx="6">
                  <c:v>23</c:v>
                </c:pt>
                <c:pt idx="7">
                  <c:v>21</c:v>
                </c:pt>
                <c:pt idx="8">
                  <c:v>23</c:v>
                </c:pt>
                <c:pt idx="9">
                  <c:v>32</c:v>
                </c:pt>
                <c:pt idx="10">
                  <c:v>25</c:v>
                </c:pt>
                <c:pt idx="11">
                  <c:v>26</c:v>
                </c:pt>
                <c:pt idx="12">
                  <c:v>26</c:v>
                </c:pt>
                <c:pt idx="13">
                  <c:v>28</c:v>
                </c:pt>
                <c:pt idx="14">
                  <c:v>29</c:v>
                </c:pt>
                <c:pt idx="15">
                  <c:v>24</c:v>
                </c:pt>
                <c:pt idx="16">
                  <c:v>24</c:v>
                </c:pt>
                <c:pt idx="17">
                  <c:v>26</c:v>
                </c:pt>
                <c:pt idx="18">
                  <c:v>26</c:v>
                </c:pt>
                <c:pt idx="19">
                  <c:v>27</c:v>
                </c:pt>
                <c:pt idx="20">
                  <c:v>27</c:v>
                </c:pt>
                <c:pt idx="21">
                  <c:v>25</c:v>
                </c:pt>
                <c:pt idx="22">
                  <c:v>24</c:v>
                </c:pt>
                <c:pt idx="23">
                  <c:v>24</c:v>
                </c:pt>
              </c:numCache>
            </c:numRef>
          </c:val>
          <c:smooth val="0"/>
          <c:extLst>
            <c:ext xmlns:c16="http://schemas.microsoft.com/office/drawing/2014/chart" uri="{C3380CC4-5D6E-409C-BE32-E72D297353CC}">
              <c16:uniqueId val="{00000001-C497-4BC0-B82B-F37B7CC3E755}"/>
            </c:ext>
          </c:extLst>
        </c:ser>
        <c:dLbls>
          <c:showLegendKey val="0"/>
          <c:showVal val="0"/>
          <c:showCatName val="0"/>
          <c:showSerName val="0"/>
          <c:showPercent val="0"/>
          <c:showBubbleSize val="0"/>
        </c:dLbls>
        <c:marker val="1"/>
        <c:smooth val="0"/>
        <c:axId val="1125965551"/>
        <c:axId val="718665087"/>
      </c:lineChart>
      <c:catAx>
        <c:axId val="112600035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669663"/>
        <c:crosses val="autoZero"/>
        <c:auto val="1"/>
        <c:lblAlgn val="ctr"/>
        <c:lblOffset val="100"/>
        <c:noMultiLvlLbl val="0"/>
      </c:catAx>
      <c:valAx>
        <c:axId val="718669663"/>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000351"/>
        <c:crosses val="autoZero"/>
        <c:crossBetween val="between"/>
      </c:valAx>
      <c:valAx>
        <c:axId val="71866508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5965551"/>
        <c:crosses val="max"/>
        <c:crossBetween val="between"/>
      </c:valAx>
      <c:catAx>
        <c:axId val="1125965551"/>
        <c:scaling>
          <c:orientation val="minMax"/>
        </c:scaling>
        <c:delete val="1"/>
        <c:axPos val="b"/>
        <c:numFmt formatCode="General" sourceLinked="1"/>
        <c:majorTickMark val="none"/>
        <c:minorTickMark val="none"/>
        <c:tickLblPos val="nextTo"/>
        <c:crossAx val="718665087"/>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[Dashboard.xlsm]Sheet9!PivotTable16</c:name>
    <c:fmtId val="5"/>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Sheet9!$B$4:$B$28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B2B2-463A-88B9-C2BE9EB91539}"/>
            </c:ext>
          </c:extLst>
        </c:ser>
        <c:dLbls>
          <c:showLegendKey val="0"/>
          <c:showVal val="0"/>
          <c:showCatName val="0"/>
          <c:showSerName val="0"/>
          <c:showPercent val="0"/>
          <c:showBubbleSize val="0"/>
        </c:dLbls>
        <c:gapWidth val="219"/>
        <c:overlap val="-27"/>
        <c:axId val="775310207"/>
        <c:axId val="718664255"/>
      </c:barChart>
      <c:lineChart>
        <c:grouping val="standard"/>
        <c:varyColors val="0"/>
        <c:ser>
          <c:idx val="1"/>
          <c:order val="1"/>
          <c:tx>
            <c:strRef>
              <c:f>Sheet9!$C$3</c:f>
              <c:strCache>
                <c:ptCount val="1"/>
                <c:pt idx="0">
                  <c:v>Educational institute</c:v>
                </c:pt>
              </c:strCache>
            </c:strRef>
          </c:tx>
          <c:spPr>
            <a:ln w="28575" cap="rnd">
              <a:solidFill>
                <a:schemeClr val="accent2"/>
              </a:solidFill>
              <a:round/>
            </a:ln>
            <a:effectLst/>
          </c:spPr>
          <c:marker>
            <c:symbol val="circle"/>
            <c:size val="6"/>
            <c:spPr>
              <a:solidFill>
                <a:schemeClr val="accent2"/>
              </a:solidFill>
              <a:ln>
                <a:noFill/>
              </a:ln>
              <a:effectLst/>
            </c:spPr>
          </c:marker>
          <c:cat>
            <c:strRef>
              <c:f>Sheet9!$A$4:$A$28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Sheet9!$C$4:$C$28</c:f>
              <c:numCache>
                <c:formatCode>General</c:formatCode>
                <c:ptCount val="24"/>
                <c:pt idx="0">
                  <c:v>54</c:v>
                </c:pt>
                <c:pt idx="1">
                  <c:v>48</c:v>
                </c:pt>
                <c:pt idx="2">
                  <c:v>43</c:v>
                </c:pt>
                <c:pt idx="3">
                  <c:v>23</c:v>
                </c:pt>
                <c:pt idx="4">
                  <c:v>32</c:v>
                </c:pt>
                <c:pt idx="5">
                  <c:v>42</c:v>
                </c:pt>
                <c:pt idx="6">
                  <c:v>53</c:v>
                </c:pt>
                <c:pt idx="7">
                  <c:v>54</c:v>
                </c:pt>
                <c:pt idx="8">
                  <c:v>33</c:v>
                </c:pt>
                <c:pt idx="9">
                  <c:v>54</c:v>
                </c:pt>
                <c:pt idx="10">
                  <c:v>65</c:v>
                </c:pt>
                <c:pt idx="11">
                  <c:v>45</c:v>
                </c:pt>
                <c:pt idx="12">
                  <c:v>34</c:v>
                </c:pt>
                <c:pt idx="13">
                  <c:v>32</c:v>
                </c:pt>
                <c:pt idx="14">
                  <c:v>23</c:v>
                </c:pt>
                <c:pt idx="15">
                  <c:v>65</c:v>
                </c:pt>
                <c:pt idx="16">
                  <c:v>45</c:v>
                </c:pt>
                <c:pt idx="17">
                  <c:v>54</c:v>
                </c:pt>
                <c:pt idx="18">
                  <c:v>65</c:v>
                </c:pt>
                <c:pt idx="19">
                  <c:v>77</c:v>
                </c:pt>
                <c:pt idx="20">
                  <c:v>45</c:v>
                </c:pt>
                <c:pt idx="21">
                  <c:v>75</c:v>
                </c:pt>
                <c:pt idx="22">
                  <c:v>56</c:v>
                </c:pt>
                <c:pt idx="23">
                  <c:v>67</c:v>
                </c:pt>
              </c:numCache>
            </c:numRef>
          </c:val>
          <c:smooth val="0"/>
          <c:extLst>
            <c:ext xmlns:c16="http://schemas.microsoft.com/office/drawing/2014/chart" uri="{C3380CC4-5D6E-409C-BE32-E72D297353CC}">
              <c16:uniqueId val="{00000001-B2B2-463A-88B9-C2BE9EB91539}"/>
            </c:ext>
          </c:extLst>
        </c:ser>
        <c:dLbls>
          <c:showLegendKey val="0"/>
          <c:showVal val="0"/>
          <c:showCatName val="0"/>
          <c:showSerName val="0"/>
          <c:showPercent val="0"/>
          <c:showBubbleSize val="0"/>
        </c:dLbls>
        <c:marker val="1"/>
        <c:smooth val="0"/>
        <c:axId val="760777663"/>
        <c:axId val="718666751"/>
      </c:lineChart>
      <c:catAx>
        <c:axId val="77531020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18664255"/>
        <c:crosses val="autoZero"/>
        <c:auto val="1"/>
        <c:lblAlgn val="ctr"/>
        <c:lblOffset val="100"/>
        <c:noMultiLvlLbl val="0"/>
      </c:catAx>
      <c:valAx>
        <c:axId val="718664255"/>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75310207"/>
        <c:crosses val="autoZero"/>
        <c:crossBetween val="between"/>
      </c:valAx>
      <c:valAx>
        <c:axId val="71866675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60777663"/>
        <c:crosses val="max"/>
        <c:crossBetween val="between"/>
      </c:valAx>
      <c:catAx>
        <c:axId val="760777663"/>
        <c:scaling>
          <c:orientation val="minMax"/>
        </c:scaling>
        <c:delete val="1"/>
        <c:axPos val="b"/>
        <c:numFmt formatCode="General" sourceLinked="1"/>
        <c:majorTickMark val="none"/>
        <c:minorTickMark val="none"/>
        <c:tickLblPos val="nextTo"/>
        <c:crossAx val="7186667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[Dashboard.xlsm]Sheet9!PivotTable17</c:name>
    <c:fmtId val="2"/>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Sheet9!$F$3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Sheet9!$F$4:$F$28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999A-4D57-9054-3F4CA399AE19}"/>
            </c:ext>
          </c:extLst>
        </c:ser>
        <c:dLbls>
          <c:showLegendKey val="0"/>
          <c:showVal val="0"/>
          <c:showCatName val="0"/>
          <c:showSerName val="0"/>
          <c:showPercent val="0"/>
          <c:showBubbleSize val="0"/>
        </c:dLbls>
        <c:gapWidth val="219"/>
        <c:axId val="1972251695"/>
        <c:axId val="1997782431"/>
      </c:barChart>
      <c:lineChart>
        <c:grouping val="standard"/>
        <c:varyColors val="0"/>
        <c:ser>
          <c:idx val="1"/>
          <c:order val="1"/>
          <c:tx>
            <c:strRef>
              <c:f>Sheet9!$G$3</c:f>
              <c:strCache>
                <c:ptCount val="1"/>
                <c:pt idx="0">
                  <c:v>Hospitals.</c:v>
                </c:pt>
              </c:strCache>
            </c:strRef>
          </c:tx>
          <c:spPr>
            <a:ln w="28575" cap="rnd">
              <a:solidFill>
                <a:schemeClr val="accent2"/>
              </a:solidFill>
              <a:round/>
            </a:ln>
            <a:effectLst/>
          </c:spPr>
          <c:marker>
            <c:symbol val="circle"/>
            <c:size val="6"/>
            <c:spPr>
              <a:solidFill>
                <a:schemeClr val="accent2"/>
              </a:solidFill>
              <a:ln>
                <a:noFill/>
              </a:ln>
              <a:effectLst/>
            </c:spPr>
          </c:marker>
          <c:cat>
            <c:strRef>
              <c:f>Sheet9!$E$4:$E$28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Sheet9!$G$4:$G$28</c:f>
              <c:numCache>
                <c:formatCode>General</c:formatCode>
                <c:ptCount val="24"/>
                <c:pt idx="0">
                  <c:v>40</c:v>
                </c:pt>
                <c:pt idx="1">
                  <c:v>32</c:v>
                </c:pt>
                <c:pt idx="2">
                  <c:v>23</c:v>
                </c:pt>
                <c:pt idx="3">
                  <c:v>43</c:v>
                </c:pt>
                <c:pt idx="4">
                  <c:v>57</c:v>
                </c:pt>
                <c:pt idx="5">
                  <c:v>43</c:v>
                </c:pt>
                <c:pt idx="6">
                  <c:v>32</c:v>
                </c:pt>
                <c:pt idx="7">
                  <c:v>21</c:v>
                </c:pt>
                <c:pt idx="8">
                  <c:v>33</c:v>
                </c:pt>
                <c:pt idx="9">
                  <c:v>23</c:v>
                </c:pt>
                <c:pt idx="10">
                  <c:v>42</c:v>
                </c:pt>
                <c:pt idx="11">
                  <c:v>24</c:v>
                </c:pt>
                <c:pt idx="12">
                  <c:v>23</c:v>
                </c:pt>
                <c:pt idx="13">
                  <c:v>23</c:v>
                </c:pt>
                <c:pt idx="14">
                  <c:v>23</c:v>
                </c:pt>
                <c:pt idx="15">
                  <c:v>43</c:v>
                </c:pt>
                <c:pt idx="16">
                  <c:v>34</c:v>
                </c:pt>
                <c:pt idx="17">
                  <c:v>53</c:v>
                </c:pt>
                <c:pt idx="18">
                  <c:v>54</c:v>
                </c:pt>
                <c:pt idx="19">
                  <c:v>34</c:v>
                </c:pt>
                <c:pt idx="20">
                  <c:v>45</c:v>
                </c:pt>
                <c:pt idx="21">
                  <c:v>34</c:v>
                </c:pt>
                <c:pt idx="22">
                  <c:v>34</c:v>
                </c:pt>
                <c:pt idx="23">
                  <c:v>34</c:v>
                </c:pt>
              </c:numCache>
            </c:numRef>
          </c:val>
          <c:smooth val="0"/>
          <c:extLst>
            <c:ext xmlns:c16="http://schemas.microsoft.com/office/drawing/2014/chart" uri="{C3380CC4-5D6E-409C-BE32-E72D297353CC}">
              <c16:uniqueId val="{00000001-999A-4D57-9054-3F4CA399AE19}"/>
            </c:ext>
          </c:extLst>
        </c:ser>
        <c:dLbls>
          <c:showLegendKey val="0"/>
          <c:showVal val="0"/>
          <c:showCatName val="0"/>
          <c:showSerName val="0"/>
          <c:showPercent val="0"/>
          <c:showBubbleSize val="0"/>
        </c:dLbls>
        <c:marker val="1"/>
        <c:smooth val="0"/>
        <c:axId val="779187679"/>
        <c:axId val="767753615"/>
      </c:lineChart>
      <c:catAx>
        <c:axId val="197225169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997782431"/>
        <c:crosses val="autoZero"/>
        <c:auto val="1"/>
        <c:lblAlgn val="ctr"/>
        <c:lblOffset val="100"/>
        <c:noMultiLvlLbl val="0"/>
      </c:catAx>
      <c:valAx>
        <c:axId val="1997782431"/>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972251695"/>
        <c:crosses val="autoZero"/>
        <c:crossBetween val="between"/>
      </c:valAx>
      <c:valAx>
        <c:axId val="767753615"/>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79187679"/>
        <c:crosses val="max"/>
        <c:crossBetween val="between"/>
      </c:valAx>
      <c:catAx>
        <c:axId val="779187679"/>
        <c:scaling>
          <c:orientation val="minMax"/>
        </c:scaling>
        <c:delete val="1"/>
        <c:axPos val="b"/>
        <c:numFmt formatCode="General" sourceLinked="1"/>
        <c:majorTickMark val="none"/>
        <c:minorTickMark val="none"/>
        <c:tickLblPos val="nextTo"/>
        <c:crossAx val="7677536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[Dashboard.xlsm]Sheet9!PivotTable18</c:name>
    <c:fmtId val="2"/>
  </c:pivotSource>
  <c:chart>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Sheet9!$J$3</c:f>
              <c:strCache>
                <c:ptCount val="1"/>
                <c:pt idx="0">
                  <c:v>Density per sq km</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Sheet9!$J$4:$J$28</c:f>
              <c:numCache>
                <c:formatCode>General</c:formatCode>
                <c:ptCount val="24"/>
                <c:pt idx="0">
                  <c:v>16868</c:v>
                </c:pt>
                <c:pt idx="1">
                  <c:v>56936</c:v>
                </c:pt>
                <c:pt idx="2">
                  <c:v>114001</c:v>
                </c:pt>
                <c:pt idx="3">
                  <c:v>57744</c:v>
                </c:pt>
                <c:pt idx="4">
                  <c:v>59505</c:v>
                </c:pt>
                <c:pt idx="5">
                  <c:v>28294</c:v>
                </c:pt>
                <c:pt idx="6">
                  <c:v>40400</c:v>
                </c:pt>
                <c:pt idx="7">
                  <c:v>45793</c:v>
                </c:pt>
                <c:pt idx="8">
                  <c:v>64168</c:v>
                </c:pt>
                <c:pt idx="9">
                  <c:v>42929</c:v>
                </c:pt>
                <c:pt idx="10">
                  <c:v>29211</c:v>
                </c:pt>
                <c:pt idx="11">
                  <c:v>32688</c:v>
                </c:pt>
                <c:pt idx="12">
                  <c:v>29956</c:v>
                </c:pt>
                <c:pt idx="13">
                  <c:v>49006</c:v>
                </c:pt>
                <c:pt idx="14">
                  <c:v>20765</c:v>
                </c:pt>
                <c:pt idx="15">
                  <c:v>21233</c:v>
                </c:pt>
                <c:pt idx="16">
                  <c:v>23866</c:v>
                </c:pt>
                <c:pt idx="17">
                  <c:v>17915</c:v>
                </c:pt>
                <c:pt idx="18">
                  <c:v>41651</c:v>
                </c:pt>
                <c:pt idx="19">
                  <c:v>33177</c:v>
                </c:pt>
                <c:pt idx="20">
                  <c:v>10262</c:v>
                </c:pt>
                <c:pt idx="21">
                  <c:v>20213</c:v>
                </c:pt>
                <c:pt idx="22">
                  <c:v>10800</c:v>
                </c:pt>
                <c:pt idx="23">
                  <c:v>7270</c:v>
                </c:pt>
              </c:numCache>
            </c:numRef>
          </c:val>
          <c:extLst>
            <c:ext xmlns:c16="http://schemas.microsoft.com/office/drawing/2014/chart" uri="{C3380CC4-5D6E-409C-BE32-E72D297353CC}">
              <c16:uniqueId val="{00000000-34CC-4DDD-893B-5EAB8DF76E67}"/>
            </c:ext>
          </c:extLst>
        </c:ser>
        <c:dLbls>
          <c:showLegendKey val="0"/>
          <c:showVal val="0"/>
          <c:showCatName val="0"/>
          <c:showSerName val="0"/>
          <c:showPercent val="0"/>
          <c:showBubbleSize val="0"/>
        </c:dLbls>
        <c:gapWidth val="219"/>
        <c:overlap val="-27"/>
        <c:axId val="1126000351"/>
        <c:axId val="718669663"/>
      </c:barChart>
      <c:lineChart>
        <c:grouping val="standard"/>
        <c:varyColors val="0"/>
        <c:ser>
          <c:idx val="1"/>
          <c:order val="1"/>
          <c:tx>
            <c:strRef>
              <c:f>Sheet9!$K$3</c:f>
              <c:strCache>
                <c:ptCount val="1"/>
                <c:pt idx="0">
                  <c:v>Sum of Supermart/malls</c:v>
                </c:pt>
              </c:strCache>
            </c:strRef>
          </c:tx>
          <c:spPr>
            <a:ln w="28575" cap="rnd">
              <a:solidFill>
                <a:schemeClr val="accent2"/>
              </a:solidFill>
              <a:round/>
            </a:ln>
            <a:effectLst/>
          </c:spPr>
          <c:marker>
            <c:symbol val="circle"/>
            <c:size val="6"/>
            <c:spPr>
              <a:solidFill>
                <a:schemeClr val="accent2"/>
              </a:solidFill>
              <a:ln>
                <a:noFill/>
              </a:ln>
              <a:effectLst/>
            </c:spPr>
          </c:marker>
          <c:cat>
            <c:strRef>
              <c:f>Sheet9!$I$4:$I$28</c:f>
              <c:strCache>
                <c:ptCount val="24"/>
                <c:pt idx="0">
                  <c:v>A</c:v>
                </c:pt>
                <c:pt idx="1">
                  <c:v>B</c:v>
                </c:pt>
                <c:pt idx="2">
                  <c:v>C</c:v>
                </c:pt>
                <c:pt idx="3">
                  <c:v>D</c:v>
                </c:pt>
                <c:pt idx="4">
                  <c:v>E</c:v>
                </c:pt>
                <c:pt idx="5">
                  <c:v>F/N</c:v>
                </c:pt>
                <c:pt idx="6">
                  <c:v>F/S</c:v>
                </c:pt>
                <c:pt idx="7">
                  <c:v>G/N</c:v>
                </c:pt>
                <c:pt idx="8">
                  <c:v>G/S</c:v>
                </c:pt>
                <c:pt idx="9">
                  <c:v>H/E</c:v>
                </c:pt>
                <c:pt idx="10">
                  <c:v>H/W</c:v>
                </c:pt>
                <c:pt idx="11">
                  <c:v>K/E</c:v>
                </c:pt>
                <c:pt idx="12">
                  <c:v>K/W</c:v>
                </c:pt>
                <c:pt idx="13">
                  <c:v>L</c:v>
                </c:pt>
                <c:pt idx="14">
                  <c:v>M/E</c:v>
                </c:pt>
                <c:pt idx="15">
                  <c:v>M/W</c:v>
                </c:pt>
                <c:pt idx="16">
                  <c:v>N</c:v>
                </c:pt>
                <c:pt idx="17">
                  <c:v>P/N</c:v>
                </c:pt>
                <c:pt idx="18">
                  <c:v>P/S</c:v>
                </c:pt>
                <c:pt idx="19">
                  <c:v>R/C</c:v>
                </c:pt>
                <c:pt idx="20">
                  <c:v>R/N</c:v>
                </c:pt>
                <c:pt idx="21">
                  <c:v>R/S</c:v>
                </c:pt>
                <c:pt idx="22">
                  <c:v>S</c:v>
                </c:pt>
                <c:pt idx="23">
                  <c:v>T</c:v>
                </c:pt>
              </c:strCache>
            </c:strRef>
          </c:cat>
          <c:val>
            <c:numRef>
              <c:f>Sheet9!$K$4:$K$28</c:f>
              <c:numCache>
                <c:formatCode>General</c:formatCode>
                <c:ptCount val="24"/>
                <c:pt idx="0">
                  <c:v>20</c:v>
                </c:pt>
                <c:pt idx="1">
                  <c:v>32</c:v>
                </c:pt>
                <c:pt idx="2">
                  <c:v>21</c:v>
                </c:pt>
                <c:pt idx="3">
                  <c:v>21</c:v>
                </c:pt>
                <c:pt idx="4">
                  <c:v>12</c:v>
                </c:pt>
                <c:pt idx="5">
                  <c:v>21</c:v>
                </c:pt>
                <c:pt idx="6">
                  <c:v>23</c:v>
                </c:pt>
                <c:pt idx="7">
                  <c:v>21</c:v>
                </c:pt>
                <c:pt idx="8">
                  <c:v>23</c:v>
                </c:pt>
                <c:pt idx="9">
                  <c:v>32</c:v>
                </c:pt>
                <c:pt idx="10">
                  <c:v>25</c:v>
                </c:pt>
                <c:pt idx="11">
                  <c:v>26</c:v>
                </c:pt>
                <c:pt idx="12">
                  <c:v>26</c:v>
                </c:pt>
                <c:pt idx="13">
                  <c:v>28</c:v>
                </c:pt>
                <c:pt idx="14">
                  <c:v>29</c:v>
                </c:pt>
                <c:pt idx="15">
                  <c:v>24</c:v>
                </c:pt>
                <c:pt idx="16">
                  <c:v>24</c:v>
                </c:pt>
                <c:pt idx="17">
                  <c:v>26</c:v>
                </c:pt>
                <c:pt idx="18">
                  <c:v>26</c:v>
                </c:pt>
                <c:pt idx="19">
                  <c:v>27</c:v>
                </c:pt>
                <c:pt idx="20">
                  <c:v>27</c:v>
                </c:pt>
                <c:pt idx="21">
                  <c:v>25</c:v>
                </c:pt>
                <c:pt idx="22">
                  <c:v>24</c:v>
                </c:pt>
                <c:pt idx="23">
                  <c:v>24</c:v>
                </c:pt>
              </c:numCache>
            </c:numRef>
          </c:val>
          <c:smooth val="0"/>
          <c:extLst>
            <c:ext xmlns:c16="http://schemas.microsoft.com/office/drawing/2014/chart" uri="{C3380CC4-5D6E-409C-BE32-E72D297353CC}">
              <c16:uniqueId val="{00000001-34CC-4DDD-893B-5EAB8DF76E67}"/>
            </c:ext>
          </c:extLst>
        </c:ser>
        <c:dLbls>
          <c:showLegendKey val="0"/>
          <c:showVal val="0"/>
          <c:showCatName val="0"/>
          <c:showSerName val="0"/>
          <c:showPercent val="0"/>
          <c:showBubbleSize val="0"/>
        </c:dLbls>
        <c:marker val="1"/>
        <c:smooth val="0"/>
        <c:axId val="1125965551"/>
        <c:axId val="718665087"/>
      </c:lineChart>
      <c:catAx>
        <c:axId val="112600035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18669663"/>
        <c:crosses val="autoZero"/>
        <c:auto val="1"/>
        <c:lblAlgn val="ctr"/>
        <c:lblOffset val="100"/>
        <c:noMultiLvlLbl val="0"/>
      </c:catAx>
      <c:valAx>
        <c:axId val="718669663"/>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26000351"/>
        <c:crosses val="autoZero"/>
        <c:crossBetween val="between"/>
      </c:valAx>
      <c:valAx>
        <c:axId val="718665087"/>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25965551"/>
        <c:crosses val="max"/>
        <c:crossBetween val="between"/>
      </c:valAx>
      <c:catAx>
        <c:axId val="1125965551"/>
        <c:scaling>
          <c:orientation val="minMax"/>
        </c:scaling>
        <c:delete val="1"/>
        <c:axPos val="b"/>
        <c:numFmt formatCode="General" sourceLinked="1"/>
        <c:majorTickMark val="none"/>
        <c:minorTickMark val="none"/>
        <c:tickLblPos val="nextTo"/>
        <c:crossAx val="71866508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solidFill>
        <a:schemeClr val="tx1">
          <a:lumMod val="15000"/>
          <a:lumOff val="85000"/>
        </a:schemeClr>
      </a:solid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[Dashboard.xlsm]Cases against Density!PivotTable15</c:name>
    <c:fmtId val="11"/>
  </c:pivotSource>
  <c:chart>
    <c:autoTitleDeleted val="1"/>
    <c:pivotFmts>
      <c:pivotFmt>
        <c:idx val="0"/>
        <c:spPr>
          <a:pattFill prst="narHorz">
            <a:fgClr>
              <a:schemeClr val="accent1"/>
            </a:fgClr>
            <a:bgClr>
              <a:schemeClr val="accent1">
                <a:lumMod val="20000"/>
                <a:lumOff val="80000"/>
              </a:schemeClr>
            </a:bgClr>
          </a:patt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narHorz">
            <a:fgClr>
              <a:schemeClr val="accent1"/>
            </a:fgClr>
            <a:bgClr>
              <a:schemeClr val="accent1">
                <a:lumMod val="20000"/>
                <a:lumOff val="80000"/>
              </a:schemeClr>
            </a:bgClr>
          </a:patt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'Cases against Density'!$C$3</c:f>
              <c:strCache>
                <c:ptCount val="1"/>
                <c:pt idx="0">
                  <c:v>Density per sq km</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Density'!$C$4:$C$28</c:f>
              <c:numCache>
                <c:formatCode>General</c:formatCode>
                <c:ptCount val="24"/>
                <c:pt idx="0">
                  <c:v>32688</c:v>
                </c:pt>
                <c:pt idx="1">
                  <c:v>29956</c:v>
                </c:pt>
                <c:pt idx="2">
                  <c:v>29211</c:v>
                </c:pt>
                <c:pt idx="3">
                  <c:v>10800</c:v>
                </c:pt>
                <c:pt idx="4">
                  <c:v>33177</c:v>
                </c:pt>
                <c:pt idx="5">
                  <c:v>59505</c:v>
                </c:pt>
                <c:pt idx="6">
                  <c:v>20765</c:v>
                </c:pt>
                <c:pt idx="7">
                  <c:v>21233</c:v>
                </c:pt>
                <c:pt idx="8">
                  <c:v>16868</c:v>
                </c:pt>
                <c:pt idx="9">
                  <c:v>45793</c:v>
                </c:pt>
                <c:pt idx="10">
                  <c:v>10262</c:v>
                </c:pt>
                <c:pt idx="11">
                  <c:v>64168</c:v>
                </c:pt>
                <c:pt idx="12">
                  <c:v>23866</c:v>
                </c:pt>
                <c:pt idx="13">
                  <c:v>41651</c:v>
                </c:pt>
                <c:pt idx="14">
                  <c:v>57744</c:v>
                </c:pt>
                <c:pt idx="15">
                  <c:v>20213</c:v>
                </c:pt>
                <c:pt idx="16">
                  <c:v>42929</c:v>
                </c:pt>
                <c:pt idx="17">
                  <c:v>49006</c:v>
                </c:pt>
                <c:pt idx="18">
                  <c:v>17915</c:v>
                </c:pt>
                <c:pt idx="19">
                  <c:v>114001</c:v>
                </c:pt>
                <c:pt idx="20">
                  <c:v>28294</c:v>
                </c:pt>
                <c:pt idx="21">
                  <c:v>7270</c:v>
                </c:pt>
                <c:pt idx="22">
                  <c:v>40400</c:v>
                </c:pt>
                <c:pt idx="23">
                  <c:v>56936</c:v>
                </c:pt>
              </c:numCache>
            </c:numRef>
          </c:val>
          <c:extLst>
            <c:ext xmlns:c16="http://schemas.microsoft.com/office/drawing/2014/chart" uri="{C3380CC4-5D6E-409C-BE32-E72D297353CC}">
              <c16:uniqueId val="{00000000-A49F-4F15-96C2-723023F4F5EB}"/>
            </c:ext>
          </c:extLst>
        </c:ser>
        <c:ser>
          <c:idx val="2"/>
          <c:order val="2"/>
          <c:tx>
            <c:strRef>
              <c:f>'Cases against Density'!$D$3</c:f>
              <c:strCache>
                <c:ptCount val="1"/>
                <c:pt idx="0">
                  <c:v>Population.</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Density'!$D$4:$D$28</c:f>
              <c:numCache>
                <c:formatCode>General</c:formatCode>
                <c:ptCount val="24"/>
                <c:pt idx="0">
                  <c:v>810002</c:v>
                </c:pt>
                <c:pt idx="1">
                  <c:v>700680</c:v>
                </c:pt>
                <c:pt idx="2">
                  <c:v>337391</c:v>
                </c:pt>
                <c:pt idx="3">
                  <c:v>691227</c:v>
                </c:pt>
                <c:pt idx="4">
                  <c:v>589886</c:v>
                </c:pt>
                <c:pt idx="5">
                  <c:v>440335</c:v>
                </c:pt>
                <c:pt idx="6">
                  <c:v>674850</c:v>
                </c:pt>
                <c:pt idx="7">
                  <c:v>414040</c:v>
                </c:pt>
                <c:pt idx="8">
                  <c:v>210847</c:v>
                </c:pt>
                <c:pt idx="9">
                  <c:v>457931</c:v>
                </c:pt>
                <c:pt idx="10">
                  <c:v>513077</c:v>
                </c:pt>
                <c:pt idx="11">
                  <c:v>582007</c:v>
                </c:pt>
                <c:pt idx="12">
                  <c:v>619556</c:v>
                </c:pt>
                <c:pt idx="13">
                  <c:v>796775</c:v>
                </c:pt>
                <c:pt idx="14">
                  <c:v>382841</c:v>
                </c:pt>
                <c:pt idx="15">
                  <c:v>363827</c:v>
                </c:pt>
                <c:pt idx="16">
                  <c:v>580835</c:v>
                </c:pt>
                <c:pt idx="17">
                  <c:v>778218</c:v>
                </c:pt>
                <c:pt idx="18">
                  <c:v>437849</c:v>
                </c:pt>
                <c:pt idx="19">
                  <c:v>202922</c:v>
                </c:pt>
                <c:pt idx="20">
                  <c:v>396122</c:v>
                </c:pt>
                <c:pt idx="21">
                  <c:v>330195</c:v>
                </c:pt>
                <c:pt idx="22">
                  <c:v>524393</c:v>
                </c:pt>
                <c:pt idx="23">
                  <c:v>140633</c:v>
                </c:pt>
              </c:numCache>
            </c:numRef>
          </c:val>
          <c:extLst>
            <c:ext xmlns:c16="http://schemas.microsoft.com/office/drawing/2014/chart" uri="{C3380CC4-5D6E-409C-BE32-E72D297353CC}">
              <c16:uniqueId val="{00000001-A49F-4F15-96C2-723023F4F5EB}"/>
            </c:ext>
          </c:extLst>
        </c:ser>
        <c:dLbls>
          <c:showLegendKey val="0"/>
          <c:showVal val="0"/>
          <c:showCatName val="0"/>
          <c:showSerName val="0"/>
          <c:showPercent val="0"/>
          <c:showBubbleSize val="0"/>
        </c:dLbls>
        <c:gapWidth val="219"/>
        <c:axId val="1110783759"/>
        <c:axId val="1123662015"/>
      </c:barChart>
      <c:lineChart>
        <c:grouping val="stacked"/>
        <c:varyColors val="0"/>
        <c:ser>
          <c:idx val="0"/>
          <c:order val="0"/>
          <c:tx>
            <c:strRef>
              <c:f>'Cases against Density'!$B$3</c:f>
              <c:strCache>
                <c:ptCount val="1"/>
                <c:pt idx="0">
                  <c:v>Total cases</c:v>
                </c:pt>
              </c:strCache>
            </c:strRef>
          </c:tx>
          <c:spPr>
            <a:ln w="28575" cap="rnd">
              <a:solidFill>
                <a:schemeClr val="accent1"/>
              </a:solidFill>
              <a:round/>
            </a:ln>
            <a:effectLst/>
          </c:spPr>
          <c:marker>
            <c:symbol val="none"/>
          </c:marker>
          <c:cat>
            <c:strRef>
              <c:f>'Cases against Density'!$A$4:$A$28</c:f>
              <c:strCache>
                <c:ptCount val="24"/>
                <c:pt idx="0">
                  <c:v>Andheri (East)</c:v>
                </c:pt>
                <c:pt idx="1">
                  <c:v>Andheri (West)</c:v>
                </c:pt>
                <c:pt idx="2">
                  <c:v>Bandra</c:v>
                </c:pt>
                <c:pt idx="3">
                  <c:v>Bhandup</c:v>
                </c:pt>
                <c:pt idx="4">
                  <c:v>Borivali West</c:v>
                </c:pt>
                <c:pt idx="5">
                  <c:v>Byculla</c:v>
                </c:pt>
                <c:pt idx="6">
                  <c:v>Chembur East</c:v>
                </c:pt>
                <c:pt idx="7">
                  <c:v>Chembur West</c:v>
                </c:pt>
                <c:pt idx="8">
                  <c:v>Colaba</c:v>
                </c:pt>
                <c:pt idx="9">
                  <c:v>Dadar/Plaza</c:v>
                </c:pt>
                <c:pt idx="10">
                  <c:v>Dahiser</c:v>
                </c:pt>
                <c:pt idx="11">
                  <c:v>Elphinstone</c:v>
                </c:pt>
                <c:pt idx="12">
                  <c:v>Ghatkopar</c:v>
                </c:pt>
                <c:pt idx="13">
                  <c:v>Goregaon</c:v>
                </c:pt>
                <c:pt idx="14">
                  <c:v>Grant Road</c:v>
                </c:pt>
                <c:pt idx="15">
                  <c:v>Kandivalli</c:v>
                </c:pt>
                <c:pt idx="16">
                  <c:v>Khar/Santacruz</c:v>
                </c:pt>
                <c:pt idx="17">
                  <c:v>Kurla</c:v>
                </c:pt>
                <c:pt idx="18">
                  <c:v>Malad</c:v>
                </c:pt>
                <c:pt idx="19">
                  <c:v>Marine Lines</c:v>
                </c:pt>
                <c:pt idx="20">
                  <c:v>Matunga</c:v>
                </c:pt>
                <c:pt idx="21">
                  <c:v>Mulund</c:v>
                </c:pt>
                <c:pt idx="22">
                  <c:v>Parel</c:v>
                </c:pt>
                <c:pt idx="23">
                  <c:v>Sanhurst Road</c:v>
                </c:pt>
              </c:strCache>
            </c:strRef>
          </c:cat>
          <c:val>
            <c:numRef>
              <c:f>'Cases against Density'!$B$4:$B$28</c:f>
              <c:numCache>
                <c:formatCode>General</c:formatCode>
                <c:ptCount val="24"/>
                <c:pt idx="0">
                  <c:v>34</c:v>
                </c:pt>
                <c:pt idx="1">
                  <c:v>46</c:v>
                </c:pt>
                <c:pt idx="2">
                  <c:v>16</c:v>
                </c:pt>
                <c:pt idx="3">
                  <c:v>31</c:v>
                </c:pt>
                <c:pt idx="4">
                  <c:v>6</c:v>
                </c:pt>
                <c:pt idx="5">
                  <c:v>10</c:v>
                </c:pt>
                <c:pt idx="6">
                  <c:v>4</c:v>
                </c:pt>
                <c:pt idx="7">
                  <c:v>8</c:v>
                </c:pt>
                <c:pt idx="8">
                  <c:v>6</c:v>
                </c:pt>
                <c:pt idx="9">
                  <c:v>18</c:v>
                </c:pt>
                <c:pt idx="10">
                  <c:v>9</c:v>
                </c:pt>
                <c:pt idx="11">
                  <c:v>55</c:v>
                </c:pt>
                <c:pt idx="12">
                  <c:v>20</c:v>
                </c:pt>
                <c:pt idx="13">
                  <c:v>15</c:v>
                </c:pt>
                <c:pt idx="14">
                  <c:v>24</c:v>
                </c:pt>
                <c:pt idx="15">
                  <c:v>23</c:v>
                </c:pt>
                <c:pt idx="16">
                  <c:v>28</c:v>
                </c:pt>
                <c:pt idx="17">
                  <c:v>40</c:v>
                </c:pt>
                <c:pt idx="18">
                  <c:v>49</c:v>
                </c:pt>
                <c:pt idx="19">
                  <c:v>12</c:v>
                </c:pt>
                <c:pt idx="20">
                  <c:v>15</c:v>
                </c:pt>
                <c:pt idx="21">
                  <c:v>8</c:v>
                </c:pt>
                <c:pt idx="22">
                  <c:v>14</c:v>
                </c:pt>
                <c:pt idx="23">
                  <c:v>15</c:v>
                </c:pt>
              </c:numCache>
            </c:numRef>
          </c:val>
          <c:smooth val="0"/>
          <c:extLst>
            <c:ext xmlns:c16="http://schemas.microsoft.com/office/drawing/2014/chart" uri="{C3380CC4-5D6E-409C-BE32-E72D297353CC}">
              <c16:uniqueId val="{00000002-A49F-4F15-96C2-723023F4F5EB}"/>
            </c:ext>
          </c:extLst>
        </c:ser>
        <c:dLbls>
          <c:showLegendKey val="0"/>
          <c:showVal val="0"/>
          <c:showCatName val="0"/>
          <c:showSerName val="0"/>
          <c:showPercent val="0"/>
          <c:showBubbleSize val="0"/>
        </c:dLbls>
        <c:marker val="1"/>
        <c:smooth val="0"/>
        <c:axId val="715461823"/>
        <c:axId val="1325754431"/>
      </c:lineChart>
      <c:valAx>
        <c:axId val="1325754431"/>
        <c:scaling>
          <c:orientation val="minMax"/>
        </c:scaling>
        <c:delete val="0"/>
        <c:axPos val="r"/>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715461823"/>
        <c:crosses val="max"/>
        <c:crossBetween val="between"/>
      </c:valAx>
      <c:catAx>
        <c:axId val="71546182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325754431"/>
        <c:crosses val="autoZero"/>
        <c:auto val="1"/>
        <c:lblAlgn val="ctr"/>
        <c:lblOffset val="100"/>
        <c:noMultiLvlLbl val="0"/>
      </c:catAx>
      <c:valAx>
        <c:axId val="11236620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crossAx val="1110783759"/>
        <c:crosses val="autoZero"/>
        <c:crossBetween val="between"/>
      </c:valAx>
      <c:catAx>
        <c:axId val="1110783759"/>
        <c:scaling>
          <c:orientation val="minMax"/>
        </c:scaling>
        <c:delete val="1"/>
        <c:axPos val="b"/>
        <c:numFmt formatCode="General" sourceLinked="1"/>
        <c:majorTickMark val="out"/>
        <c:minorTickMark val="none"/>
        <c:tickLblPos val="nextTo"/>
        <c:crossAx val="112366201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accent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50000"/>
        <a:lumOff val="50000"/>
        <a:alpha val="35000"/>
      </a:schemeClr>
    </a:solidFill>
    <a:ln w="9525" cap="flat" cmpd="sng" algn="ctr">
      <a:noFill/>
      <a:round/>
    </a:ln>
    <a:effectLst/>
  </c:spPr>
  <c:txPr>
    <a:bodyPr/>
    <a:lstStyle/>
    <a:p>
      <a:pPr>
        <a:defRPr>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1</xdr:col>
      <xdr:colOff>548640</xdr:colOff>
      <xdr:row>7</xdr:row>
      <xdr:rowOff>11430</xdr:rowOff>
    </xdr:from>
    <xdr:to>
      <xdr:col>14</xdr:col>
      <xdr:colOff>190500</xdr:colOff>
      <xdr:row>22</xdr:row>
      <xdr:rowOff>11430</xdr:rowOff>
    </xdr:to>
    <xdr:graphicFrame macro="">
      <xdr:nvGraphicFramePr>
        <xdr:cNvPr id="5" name="Chart 4">
          <a:extLst>
            <a:ext uri="{FF2B5EF4-FFF2-40B4-BE49-F238E27FC236}">
              <a16:creationId xmlns:a16="http://schemas.microsoft.com/office/drawing/2014/main" id="{BAA1691C-3B8E-45E3-9503-C664212F0B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64770</xdr:rowOff>
    </xdr:from>
    <xdr:to>
      <xdr:col>3</xdr:col>
      <xdr:colOff>1143000</xdr:colOff>
      <xdr:row>20</xdr:row>
      <xdr:rowOff>64770</xdr:rowOff>
    </xdr:to>
    <xdr:graphicFrame macro="">
      <xdr:nvGraphicFramePr>
        <xdr:cNvPr id="5" name="Chart 4">
          <a:extLst>
            <a:ext uri="{FF2B5EF4-FFF2-40B4-BE49-F238E27FC236}">
              <a16:creationId xmlns:a16="http://schemas.microsoft.com/office/drawing/2014/main" id="{342A5E98-E42F-447E-AC24-3BBBE56E32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640080</xdr:colOff>
      <xdr:row>7</xdr:row>
      <xdr:rowOff>11430</xdr:rowOff>
    </xdr:from>
    <xdr:to>
      <xdr:col>7</xdr:col>
      <xdr:colOff>1363980</xdr:colOff>
      <xdr:row>22</xdr:row>
      <xdr:rowOff>11430</xdr:rowOff>
    </xdr:to>
    <xdr:graphicFrame macro="">
      <xdr:nvGraphicFramePr>
        <xdr:cNvPr id="6" name="Chart 5">
          <a:extLst>
            <a:ext uri="{FF2B5EF4-FFF2-40B4-BE49-F238E27FC236}">
              <a16:creationId xmlns:a16="http://schemas.microsoft.com/office/drawing/2014/main" id="{427DBD9A-E8A7-40A0-95F8-1407C1AD41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1661160</xdr:colOff>
      <xdr:row>4</xdr:row>
      <xdr:rowOff>64770</xdr:rowOff>
    </xdr:from>
    <xdr:to>
      <xdr:col>11</xdr:col>
      <xdr:colOff>251460</xdr:colOff>
      <xdr:row>19</xdr:row>
      <xdr:rowOff>64770</xdr:rowOff>
    </xdr:to>
    <xdr:graphicFrame macro="">
      <xdr:nvGraphicFramePr>
        <xdr:cNvPr id="7" name="Chart 6">
          <a:extLst>
            <a:ext uri="{FF2B5EF4-FFF2-40B4-BE49-F238E27FC236}">
              <a16:creationId xmlns:a16="http://schemas.microsoft.com/office/drawing/2014/main" id="{73D06639-A18A-46DA-9063-23BA8D888D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99060</xdr:colOff>
      <xdr:row>13</xdr:row>
      <xdr:rowOff>30480</xdr:rowOff>
    </xdr:from>
    <xdr:to>
      <xdr:col>8</xdr:col>
      <xdr:colOff>358140</xdr:colOff>
      <xdr:row>23</xdr:row>
      <xdr:rowOff>175260</xdr:rowOff>
    </xdr:to>
    <xdr:graphicFrame macro="">
      <xdr:nvGraphicFramePr>
        <xdr:cNvPr id="5" name="Chart 4">
          <a:extLst>
            <a:ext uri="{FF2B5EF4-FFF2-40B4-BE49-F238E27FC236}">
              <a16:creationId xmlns:a16="http://schemas.microsoft.com/office/drawing/2014/main" id="{D270CED4-0AC6-42E0-B717-2684E96A44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426720</xdr:colOff>
      <xdr:row>13</xdr:row>
      <xdr:rowOff>38100</xdr:rowOff>
    </xdr:from>
    <xdr:to>
      <xdr:col>13</xdr:col>
      <xdr:colOff>213360</xdr:colOff>
      <xdr:row>24</xdr:row>
      <xdr:rowOff>15240</xdr:rowOff>
    </xdr:to>
    <xdr:graphicFrame macro="">
      <xdr:nvGraphicFramePr>
        <xdr:cNvPr id="7" name="Chart 6">
          <a:extLst>
            <a:ext uri="{FF2B5EF4-FFF2-40B4-BE49-F238E27FC236}">
              <a16:creationId xmlns:a16="http://schemas.microsoft.com/office/drawing/2014/main" id="{1D90CDC8-3B19-40B5-9DD4-BBE02C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274320</xdr:colOff>
      <xdr:row>13</xdr:row>
      <xdr:rowOff>38100</xdr:rowOff>
    </xdr:from>
    <xdr:to>
      <xdr:col>17</xdr:col>
      <xdr:colOff>586740</xdr:colOff>
      <xdr:row>24</xdr:row>
      <xdr:rowOff>7620</xdr:rowOff>
    </xdr:to>
    <xdr:graphicFrame macro="">
      <xdr:nvGraphicFramePr>
        <xdr:cNvPr id="8" name="Chart 7">
          <a:extLst>
            <a:ext uri="{FF2B5EF4-FFF2-40B4-BE49-F238E27FC236}">
              <a16:creationId xmlns:a16="http://schemas.microsoft.com/office/drawing/2014/main" id="{D2D14A06-47BC-4A7C-AF60-DFD85918F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91440</xdr:colOff>
      <xdr:row>24</xdr:row>
      <xdr:rowOff>1</xdr:rowOff>
    </xdr:from>
    <xdr:to>
      <xdr:col>17</xdr:col>
      <xdr:colOff>586740</xdr:colOff>
      <xdr:row>29</xdr:row>
      <xdr:rowOff>53341</xdr:rowOff>
    </xdr:to>
    <mc:AlternateContent xmlns:mc="http://schemas.openxmlformats.org/markup-compatibility/2006">
      <mc:Choice xmlns:a14="http://schemas.microsoft.com/office/drawing/2010/main" Requires="a14">
        <xdr:graphicFrame macro="">
          <xdr:nvGraphicFramePr>
            <xdr:cNvPr id="11" name="Ward">
              <a:extLst>
                <a:ext uri="{FF2B5EF4-FFF2-40B4-BE49-F238E27FC236}">
                  <a16:creationId xmlns:a16="http://schemas.microsoft.com/office/drawing/2014/main" id="{71FC1A75-2AE3-477D-B401-F2760CDDFCE4}"/>
                </a:ext>
              </a:extLst>
            </xdr:cNvPr>
            <xdr:cNvGraphicFramePr/>
          </xdr:nvGraphicFramePr>
          <xdr:xfrm>
            <a:off x="0" y="0"/>
            <a:ext cx="0" cy="0"/>
          </xdr:xfrm>
          <a:graphic>
            <a:graphicData uri="http://schemas.microsoft.com/office/drawing/2010/slicer">
              <sle:slicer xmlns:sle="http://schemas.microsoft.com/office/drawing/2010/slicer" name="Ward"/>
            </a:graphicData>
          </a:graphic>
        </xdr:graphicFrame>
      </mc:Choice>
      <mc:Fallback>
        <xdr:sp macro="" textlink="">
          <xdr:nvSpPr>
            <xdr:cNvPr id="0" name=""/>
            <xdr:cNvSpPr>
              <a:spLocks noTextEdit="1"/>
            </xdr:cNvSpPr>
          </xdr:nvSpPr>
          <xdr:spPr>
            <a:xfrm>
              <a:off x="1623060" y="4389121"/>
              <a:ext cx="8420100" cy="967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68580</xdr:colOff>
      <xdr:row>0</xdr:row>
      <xdr:rowOff>175260</xdr:rowOff>
    </xdr:from>
    <xdr:to>
      <xdr:col>12</xdr:col>
      <xdr:colOff>586740</xdr:colOff>
      <xdr:row>2</xdr:row>
      <xdr:rowOff>137160</xdr:rowOff>
    </xdr:to>
    <xdr:sp macro="" textlink="">
      <xdr:nvSpPr>
        <xdr:cNvPr id="12" name="TextBox 11">
          <a:extLst>
            <a:ext uri="{FF2B5EF4-FFF2-40B4-BE49-F238E27FC236}">
              <a16:creationId xmlns:a16="http://schemas.microsoft.com/office/drawing/2014/main" id="{E1A3E46A-E8CB-4E9A-8DE8-B699638B7E80}"/>
            </a:ext>
          </a:extLst>
        </xdr:cNvPr>
        <xdr:cNvSpPr txBox="1"/>
      </xdr:nvSpPr>
      <xdr:spPr>
        <a:xfrm>
          <a:off x="3429000" y="175260"/>
          <a:ext cx="35661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accent6">
                  <a:lumMod val="60000"/>
                  <a:lumOff val="40000"/>
                </a:schemeClr>
              </a:solidFill>
            </a:rPr>
            <a:t>Dashboard for Coronavirus</a:t>
          </a:r>
        </a:p>
      </xdr:txBody>
    </xdr:sp>
    <xdr:clientData/>
  </xdr:twoCellAnchor>
  <xdr:twoCellAnchor>
    <xdr:from>
      <xdr:col>7</xdr:col>
      <xdr:colOff>457200</xdr:colOff>
      <xdr:row>2</xdr:row>
      <xdr:rowOff>161925</xdr:rowOff>
    </xdr:from>
    <xdr:to>
      <xdr:col>12</xdr:col>
      <xdr:colOff>281940</xdr:colOff>
      <xdr:row>3</xdr:row>
      <xdr:rowOff>169545</xdr:rowOff>
    </xdr:to>
    <xdr:sp macro="" textlink="">
      <xdr:nvSpPr>
        <xdr:cNvPr id="13" name="TextBox 12">
          <a:extLst>
            <a:ext uri="{FF2B5EF4-FFF2-40B4-BE49-F238E27FC236}">
              <a16:creationId xmlns:a16="http://schemas.microsoft.com/office/drawing/2014/main" id="{1C35151A-8565-4797-8812-F02B14FAEEF0}"/>
            </a:ext>
          </a:extLst>
        </xdr:cNvPr>
        <xdr:cNvSpPr txBox="1"/>
      </xdr:nvSpPr>
      <xdr:spPr>
        <a:xfrm>
          <a:off x="3817620" y="527685"/>
          <a:ext cx="287274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accent6">
                  <a:lumMod val="20000"/>
                  <a:lumOff val="80000"/>
                </a:schemeClr>
              </a:solidFill>
            </a:rPr>
            <a:t>HackCovid-19 by InternityFoundation</a:t>
          </a:r>
        </a:p>
      </xdr:txBody>
    </xdr:sp>
    <xdr:clientData/>
  </xdr:twoCellAnchor>
  <xdr:twoCellAnchor editAs="oneCell">
    <xdr:from>
      <xdr:col>18</xdr:col>
      <xdr:colOff>71846</xdr:colOff>
      <xdr:row>4</xdr:row>
      <xdr:rowOff>1089</xdr:rowOff>
    </xdr:from>
    <xdr:to>
      <xdr:col>23</xdr:col>
      <xdr:colOff>388620</xdr:colOff>
      <xdr:row>29</xdr:row>
      <xdr:rowOff>35824</xdr:rowOff>
    </xdr:to>
    <xdr:pic>
      <xdr:nvPicPr>
        <xdr:cNvPr id="14" name="Picture 13">
          <a:extLst>
            <a:ext uri="{FF2B5EF4-FFF2-40B4-BE49-F238E27FC236}">
              <a16:creationId xmlns:a16="http://schemas.microsoft.com/office/drawing/2014/main" id="{EB32075D-7E9E-4001-86BF-0F4516AFC01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137866" y="732609"/>
          <a:ext cx="3364774" cy="4606735"/>
        </a:xfrm>
        <a:prstGeom prst="rect">
          <a:avLst/>
        </a:prstGeom>
      </xdr:spPr>
    </xdr:pic>
    <xdr:clientData/>
  </xdr:twoCellAnchor>
  <xdr:twoCellAnchor>
    <xdr:from>
      <xdr:col>4</xdr:col>
      <xdr:colOff>91440</xdr:colOff>
      <xdr:row>4</xdr:row>
      <xdr:rowOff>7620</xdr:rowOff>
    </xdr:from>
    <xdr:to>
      <xdr:col>17</xdr:col>
      <xdr:colOff>586740</xdr:colOff>
      <xdr:row>12</xdr:row>
      <xdr:rowOff>144780</xdr:rowOff>
    </xdr:to>
    <xdr:graphicFrame macro="">
      <xdr:nvGraphicFramePr>
        <xdr:cNvPr id="15" name="Chart 14">
          <a:extLst>
            <a:ext uri="{FF2B5EF4-FFF2-40B4-BE49-F238E27FC236}">
              <a16:creationId xmlns:a16="http://schemas.microsoft.com/office/drawing/2014/main" id="{760BD36C-BCC4-4EED-AF55-954E6A1BD7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83820</xdr:colOff>
      <xdr:row>2</xdr:row>
      <xdr:rowOff>121920</xdr:rowOff>
    </xdr:from>
    <xdr:to>
      <xdr:col>13</xdr:col>
      <xdr:colOff>26220</xdr:colOff>
      <xdr:row>2</xdr:row>
      <xdr:rowOff>121920</xdr:rowOff>
    </xdr:to>
    <xdr:cxnSp macro="">
      <xdr:nvCxnSpPr>
        <xdr:cNvPr id="17" name="Straight Connector 16">
          <a:extLst>
            <a:ext uri="{FF2B5EF4-FFF2-40B4-BE49-F238E27FC236}">
              <a16:creationId xmlns:a16="http://schemas.microsoft.com/office/drawing/2014/main" id="{05691613-4498-40BD-B58A-5A770CAF27CF}"/>
            </a:ext>
          </a:extLst>
        </xdr:cNvPr>
        <xdr:cNvCxnSpPr/>
      </xdr:nvCxnSpPr>
      <xdr:spPr>
        <a:xfrm>
          <a:off x="3444240" y="487680"/>
          <a:ext cx="3600000" cy="0"/>
        </a:xfrm>
        <a:prstGeom prst="line">
          <a:avLst/>
        </a:prstGeom>
        <a:ln>
          <a:solidFill>
            <a:schemeClr val="accent6">
              <a:lumMod val="20000"/>
              <a:lumOff val="8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9</xdr:col>
      <xdr:colOff>447675</xdr:colOff>
      <xdr:row>37</xdr:row>
      <xdr:rowOff>57150</xdr:rowOff>
    </xdr:to>
    <xdr:pic>
      <xdr:nvPicPr>
        <xdr:cNvPr id="3" name="Picture 2">
          <a:extLst>
            <a:ext uri="{FF2B5EF4-FFF2-40B4-BE49-F238E27FC236}">
              <a16:creationId xmlns:a16="http://schemas.microsoft.com/office/drawing/2014/main" id="{272447E6-180E-48B9-80E1-AB7B22977B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9200" y="365760"/>
          <a:ext cx="4714875" cy="64579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wK" refreshedDate="43940.047487615739" createdVersion="6" refreshedVersion="6" minRefreshableVersion="3" recordCount="24">
  <cacheSource type="worksheet">
    <worksheetSource name="Table3"/>
  </cacheSource>
  <cacheFields count="31">
    <cacheField name="Country" numFmtId="0">
      <sharedItems/>
    </cacheField>
    <cacheField name="State" numFmtId="0">
      <sharedItems/>
    </cacheField>
    <cacheField name="City" numFmtId="0">
      <sharedItems/>
    </cacheField>
    <cacheField name="Ward location" numFmtId="0">
      <sharedItems count="24">
        <s v="Colaba"/>
        <s v="Sanhurst Road"/>
        <s v="Marine Lines"/>
        <s v="Grant Road"/>
        <s v="Byculla"/>
        <s v="Matunga"/>
        <s v="Parel"/>
        <s v="Dadar/Plaza"/>
        <s v="Elphinstone"/>
        <s v="Khar/Santacruz"/>
        <s v="Bandra"/>
        <s v="Andheri (East)"/>
        <s v="Andheri (West)"/>
        <s v="Kurla"/>
        <s v="Chembur East"/>
        <s v="Chembur West"/>
        <s v="Ghatkopar"/>
        <s v="Malad"/>
        <s v="Goregaon"/>
        <s v="Borivali West"/>
        <s v="Dahiser"/>
        <s v="Kandivalli"/>
        <s v="Bhandup"/>
        <s v="Mulund"/>
      </sharedItems>
    </cacheField>
    <cacheField name="latitude" numFmtId="0">
      <sharedItems containsSemiMixedTypes="0" containsString="0" containsNumber="1" minValue="18.916989300000001" maxValue="19.269947047139802"/>
    </cacheField>
    <cacheField name="longitude" numFmtId="0">
      <sharedItems containsSemiMixedTypes="0" containsString="0" containsNumber="1" minValue="72.818725814261001" maxValue="72.956469499999997"/>
    </cacheField>
    <cacheField name="formattedAddress" numFmtId="0">
      <sharedItems containsNonDate="0" containsString="0" containsBlank="1"/>
    </cacheField>
    <cacheField name="road" numFmtId="0">
      <sharedItems containsBlank="1"/>
    </cacheField>
    <cacheField name="suburb" numFmtId="0">
      <sharedItems containsBlank="1"/>
    </cacheField>
    <cacheField name="county" numFmtId="0">
      <sharedItems containsNonDate="0" containsString="0" containsBlank="1"/>
    </cacheField>
    <cacheField name="district" numFmtId="0">
      <sharedItems containsBlank="1"/>
    </cacheField>
    <cacheField name="state2" numFmtId="0">
      <sharedItems/>
    </cacheField>
    <cacheField name="country3" numFmtId="0">
      <sharedItems/>
    </cacheField>
    <cacheField name="postcode" numFmtId="0">
      <sharedItems containsBlank="1" containsMixedTypes="1" containsNumber="1" containsInteger="1" minValue="40051" maxValue="411001"/>
    </cacheField>
    <cacheField name="Ward" numFmtId="0">
      <sharedItems count="24">
        <s v="A"/>
        <s v="B"/>
        <s v="C"/>
        <s v="D"/>
        <s v="E"/>
        <s v="F/N"/>
        <s v="F/S"/>
        <s v="G/N"/>
        <s v="G/S"/>
        <s v="H/E"/>
        <s v="H/W"/>
        <s v="K/E"/>
        <s v="K/W"/>
        <s v="L"/>
        <s v="M/E"/>
        <s v="M/W"/>
        <s v="N"/>
        <s v="P/N"/>
        <s v="P/S"/>
        <s v="R/C"/>
        <s v="R/N"/>
        <s v="R/S"/>
        <s v="S"/>
        <s v="T"/>
      </sharedItems>
    </cacheField>
    <cacheField name="Number of Cases- Very Congested Area" numFmtId="0">
      <sharedItems containsSemiMixedTypes="0" containsString="0" containsNumber="1" containsInteger="1" minValue="0" maxValue="24"/>
    </cacheField>
    <cacheField name="Number of Cases- Medium Congested" numFmtId="0">
      <sharedItems containsSemiMixedTypes="0" containsString="0" containsNumber="1" containsInteger="1" minValue="0" maxValue="6"/>
    </cacheField>
    <cacheField name="Number of Cases- Standalone Structure" numFmtId="0">
      <sharedItems containsSemiMixedTypes="0" containsString="0" containsNumber="1" containsInteger="1" minValue="0" maxValue="32"/>
    </cacheField>
    <cacheField name="Total number of cases" numFmtId="0">
      <sharedItems containsSemiMixedTypes="0" containsString="0" containsNumber="1" containsInteger="1" minValue="4" maxValue="55"/>
    </cacheField>
    <cacheField name="Population" numFmtId="0">
      <sharedItems containsSemiMixedTypes="0" containsString="0" containsNumber="1" containsInteger="1" minValue="140633" maxValue="810002"/>
    </cacheField>
    <cacheField name="Population affected per case" numFmtId="0">
      <sharedItems containsSemiMixedTypes="0" containsString="0" containsNumber="1" minValue="8935.6938775510207" maxValue="168712.5"/>
    </cacheField>
    <cacheField name="Density per square kilometer" numFmtId="0">
      <sharedItems containsSemiMixedTypes="0" containsString="0" containsNumber="1" containsInteger="1" minValue="7270" maxValue="114001"/>
    </cacheField>
    <cacheField name="Senior citizen %" numFmtId="0">
      <sharedItems containsSemiMixedTypes="0" containsString="0" containsNumber="1" minValue="0.14000000000000001" maxValue="0.14000000000000001"/>
    </cacheField>
    <cacheField name="Population per square kilometers" numFmtId="0">
      <sharedItems containsSemiMixedTypes="0" containsString="0" containsNumber="1" minValue="7269.8150594451781" maxValue="114001.12359550562"/>
    </cacheField>
    <cacheField name="Area" numFmtId="0">
      <sharedItems containsSemiMixedTypes="0" containsString="0" containsNumber="1" minValue="1.78" maxValue="64"/>
    </cacheField>
    <cacheField name="Educational institutes" numFmtId="0">
      <sharedItems containsSemiMixedTypes="0" containsString="0" containsNumber="1" containsInteger="1" minValue="23" maxValue="77"/>
    </cacheField>
    <cacheField name="Hospitals" numFmtId="0">
      <sharedItems containsSemiMixedTypes="0" containsString="0" containsNumber="1" containsInteger="1" minValue="21" maxValue="57"/>
    </cacheField>
    <cacheField name="Supermarts/malls" numFmtId="0">
      <sharedItems containsSemiMixedTypes="0" containsString="0" containsNumber="1" containsInteger="1" minValue="12" maxValue="32"/>
    </cacheField>
    <cacheField name="Critical congestion points" numFmtId="0">
      <sharedItems containsSemiMixedTypes="0" containsString="0" containsNumber="1" containsInteger="1" minValue="0" maxValue="0"/>
    </cacheField>
    <cacheField name="Commercial complexes" numFmtId="0">
      <sharedItems containsSemiMixedTypes="0" containsString="0" containsNumber="1" containsInteger="1" minValue="0" maxValue="0"/>
    </cacheField>
    <cacheField name="Residential are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30188536"/>
    </ext>
  </extLst>
</pivotCacheDefinition>
</file>

<file path=xl/pivotCache/pivotCacheRecords1.xml><?xml version="1.0" encoding="utf-8"?>
<pivotCacheRecords xmlns="http://schemas.openxmlformats.org/spreadsheetml/2006/main" xmlns:r="http://schemas.openxmlformats.org/officeDocument/2006/relationships" count="24">
  <r>
    <s v="India"/>
    <s v="Maharashtra"/>
    <s v="Mumbai"/>
    <x v="0"/>
    <n v="18.916989300000001"/>
    <n v="72.827221100000003"/>
    <m/>
    <s v="Nanabhai Moos Marg (Upper Colaba Road)"/>
    <s v="A Ward"/>
    <m/>
    <s v="Mumbai City"/>
    <s v="Maharashtra"/>
    <s v="India"/>
    <n v="400005"/>
    <x v="0"/>
    <n v="1"/>
    <n v="0"/>
    <n v="5"/>
    <n v="6"/>
    <n v="210847"/>
    <n v="35141.166666666664"/>
    <n v="16868"/>
    <n v="0.14000000000000001"/>
    <n v="16867.759999999998"/>
    <n v="12.5"/>
    <n v="54"/>
    <n v="40"/>
    <n v="20"/>
    <n v="0"/>
    <n v="0"/>
    <n v="0"/>
  </r>
  <r>
    <s v="India"/>
    <s v="Maharashtra"/>
    <s v="Mumbai"/>
    <x v="1"/>
    <n v="18.963423401021601"/>
    <n v="72.844564606079601"/>
    <m/>
    <m/>
    <m/>
    <m/>
    <m/>
    <s v="Maharashtra"/>
    <s v="India"/>
    <m/>
    <x v="1"/>
    <n v="3"/>
    <n v="0"/>
    <n v="12"/>
    <n v="15"/>
    <n v="140633"/>
    <n v="9375.5333333333328"/>
    <n v="56936"/>
    <n v="0.14000000000000001"/>
    <n v="56936.437246963556"/>
    <n v="2.4700000000000002"/>
    <n v="48"/>
    <n v="32"/>
    <n v="32"/>
    <n v="0"/>
    <n v="0"/>
    <n v="0"/>
  </r>
  <r>
    <s v="India"/>
    <s v="Maharashtra"/>
    <s v="Mumbai"/>
    <x v="2"/>
    <n v="18.945615700000001"/>
    <n v="72.823816199999996"/>
    <m/>
    <s v="Maharshi Karve Road"/>
    <s v="C Ward"/>
    <m/>
    <s v="Mumbai City"/>
    <s v="Maharashtra"/>
    <s v="India"/>
    <n v="400002"/>
    <x v="2"/>
    <n v="3"/>
    <n v="0"/>
    <n v="9"/>
    <n v="12"/>
    <n v="202922"/>
    <n v="16910.166666666668"/>
    <n v="114001"/>
    <n v="0.14000000000000001"/>
    <n v="114001.12359550562"/>
    <n v="1.78"/>
    <n v="43"/>
    <n v="23"/>
    <n v="21"/>
    <n v="0"/>
    <n v="0"/>
    <n v="0"/>
  </r>
  <r>
    <s v="India"/>
    <s v="Maharashtra"/>
    <s v="Mumbai"/>
    <x v="3"/>
    <n v="18.969005605477101"/>
    <n v="72.818725814261001"/>
    <m/>
    <s v="Grant Road"/>
    <s v="Kharadi"/>
    <m/>
    <s v="Pune District"/>
    <s v="Maharashtra"/>
    <s v="India"/>
    <n v="411001"/>
    <x v="3"/>
    <n v="3"/>
    <n v="3"/>
    <n v="18"/>
    <n v="24"/>
    <n v="382841"/>
    <n v="15951.708333333334"/>
    <n v="57744"/>
    <n v="0.14000000000000001"/>
    <n v="57743.740573152339"/>
    <n v="6.63"/>
    <n v="23"/>
    <n v="43"/>
    <n v="21"/>
    <n v="0"/>
    <n v="0"/>
    <n v="0"/>
  </r>
  <r>
    <s v="India"/>
    <s v="Maharashtra"/>
    <s v="Mumbai"/>
    <x v="4"/>
    <n v="18.976621900000001"/>
    <n v="72.832793600000002"/>
    <m/>
    <s v="Dr Baba Saheb Ambedkar Marg (Victoria Garden Road)"/>
    <s v="E Ward"/>
    <m/>
    <s v="Mumbai City"/>
    <s v="Maharashtra"/>
    <s v="India"/>
    <n v="400027"/>
    <x v="4"/>
    <n v="2"/>
    <n v="3"/>
    <n v="5"/>
    <n v="10"/>
    <n v="440335"/>
    <n v="44033.5"/>
    <n v="59505"/>
    <n v="0.14000000000000001"/>
    <n v="59504.729729729726"/>
    <n v="7.4"/>
    <n v="32"/>
    <n v="57"/>
    <n v="12"/>
    <n v="0"/>
    <n v="0"/>
    <n v="0"/>
  </r>
  <r>
    <s v="India"/>
    <s v="Maharashtra"/>
    <s v="Mumbai"/>
    <x v="5"/>
    <n v="19.0274356"/>
    <n v="72.850146699999996"/>
    <m/>
    <s v="Lakhamsi Nappu Road"/>
    <s v="F/N Ward"/>
    <m/>
    <s v="Mumbai City"/>
    <s v="Maharashtra"/>
    <s v="India"/>
    <n v="400019"/>
    <x v="5"/>
    <n v="5"/>
    <n v="0"/>
    <n v="10"/>
    <n v="15"/>
    <n v="396122"/>
    <n v="26408.133333333335"/>
    <n v="28294"/>
    <n v="0.14000000000000001"/>
    <n v="28294.428571428572"/>
    <n v="14"/>
    <n v="42"/>
    <n v="43"/>
    <n v="21"/>
    <n v="0"/>
    <n v="0"/>
    <n v="0"/>
  </r>
  <r>
    <s v="India"/>
    <s v="Maharashtra"/>
    <s v="Mumbai"/>
    <x v="6"/>
    <n v="19.009481699999998"/>
    <n v="72.837661400000002"/>
    <m/>
    <m/>
    <s v="F/S Ward"/>
    <m/>
    <s v="Mumbai City"/>
    <s v="Maharashtra"/>
    <s v="India"/>
    <n v="400028"/>
    <x v="6"/>
    <n v="1"/>
    <n v="2"/>
    <n v="11"/>
    <n v="14"/>
    <n v="524393"/>
    <n v="37456.642857142855"/>
    <n v="40400"/>
    <n v="0.14000000000000001"/>
    <n v="40400.077041602461"/>
    <n v="12.98"/>
    <n v="53"/>
    <n v="32"/>
    <n v="23"/>
    <n v="0"/>
    <n v="0"/>
    <n v="0"/>
  </r>
  <r>
    <s v="India"/>
    <s v="Maharashtra"/>
    <s v="Mumbai"/>
    <x v="7"/>
    <n v="19.005466599999998"/>
    <n v="72.839951499999998"/>
    <m/>
    <s v="Dr Babasaheb Ambedkar Marg (Vincent Road)"/>
    <s v="F/S Ward"/>
    <m/>
    <s v="Mumbai City"/>
    <s v="Maharashtra"/>
    <s v="India"/>
    <n v="400012"/>
    <x v="7"/>
    <n v="6"/>
    <n v="0"/>
    <n v="12"/>
    <n v="18"/>
    <n v="457931"/>
    <n v="25440.611111111109"/>
    <n v="45793"/>
    <n v="0.14000000000000001"/>
    <n v="45793.1"/>
    <n v="10"/>
    <n v="54"/>
    <n v="21"/>
    <n v="21"/>
    <n v="0"/>
    <n v="0"/>
    <n v="0"/>
  </r>
  <r>
    <s v="India"/>
    <s v="Maharashtra"/>
    <s v="Mumbai"/>
    <x v="8"/>
    <n v="18.947938400000002"/>
    <n v="72.840644800000007"/>
    <m/>
    <s v="P D' Mello Road"/>
    <s v="A Ward"/>
    <m/>
    <s v="Mumbai City"/>
    <s v="Maharashtra"/>
    <s v="India"/>
    <n v="400038"/>
    <x v="8"/>
    <n v="24"/>
    <n v="3"/>
    <n v="28"/>
    <n v="55"/>
    <n v="582007"/>
    <n v="10581.945454545454"/>
    <n v="64168"/>
    <n v="0.14000000000000001"/>
    <n v="64168.357221609702"/>
    <n v="9.07"/>
    <n v="33"/>
    <n v="33"/>
    <n v="23"/>
    <n v="0"/>
    <n v="0"/>
    <n v="0"/>
  </r>
  <r>
    <s v="India"/>
    <s v="Maharashtra"/>
    <s v="Mumbai"/>
    <x v="9"/>
    <n v="19.084002231640401"/>
    <n v="72.859317425939693"/>
    <m/>
    <m/>
    <m/>
    <m/>
    <m/>
    <s v="Maharashtra"/>
    <s v="India"/>
    <m/>
    <x v="9"/>
    <n v="11"/>
    <n v="1"/>
    <n v="16"/>
    <n v="28"/>
    <n v="580835"/>
    <n v="20744.107142857141"/>
    <n v="42929"/>
    <n v="0.14000000000000001"/>
    <n v="42929.416112342944"/>
    <n v="13.53"/>
    <n v="54"/>
    <n v="23"/>
    <n v="32"/>
    <n v="0"/>
    <n v="0"/>
    <n v="0"/>
  </r>
  <r>
    <s v="India"/>
    <s v="Maharashtra"/>
    <s v="Mumbai"/>
    <x v="10"/>
    <n v="19.054979199999998"/>
    <n v="72.840220299999999"/>
    <m/>
    <s v="Gurunanak Marg (Turner Road)"/>
    <s v="Bandra West"/>
    <m/>
    <s v="Mumbai Suburban"/>
    <s v="Maharashtra"/>
    <s v="India"/>
    <n v="40051"/>
    <x v="10"/>
    <n v="14"/>
    <n v="2"/>
    <n v="0"/>
    <n v="16"/>
    <n v="337391"/>
    <n v="21086.9375"/>
    <n v="29211"/>
    <n v="0.14000000000000001"/>
    <n v="29211.341991341989"/>
    <n v="11.55"/>
    <n v="65"/>
    <n v="42"/>
    <n v="25"/>
    <n v="0"/>
    <n v="0"/>
    <n v="0"/>
  </r>
  <r>
    <s v="India"/>
    <s v="Maharashtra"/>
    <s v="Mumbai"/>
    <x v="11"/>
    <n v="19.119060449999999"/>
    <n v="72.848191663200595"/>
    <m/>
    <s v="Sahar Road"/>
    <s v="K/E Ward"/>
    <m/>
    <s v="Mumbai Suburban"/>
    <s v="Maharashtra"/>
    <s v="India"/>
    <n v="400069"/>
    <x v="11"/>
    <n v="10"/>
    <n v="3"/>
    <n v="21"/>
    <n v="34"/>
    <n v="810002"/>
    <n v="23823.588235294119"/>
    <n v="32688"/>
    <n v="0.14000000000000001"/>
    <n v="32687.732041969328"/>
    <n v="24.78"/>
    <n v="45"/>
    <n v="24"/>
    <n v="26"/>
    <n v="0"/>
    <n v="0"/>
    <n v="0"/>
  </r>
  <r>
    <s v="India"/>
    <s v="Maharashtra"/>
    <s v="Mumbai"/>
    <x v="12"/>
    <n v="19.119311750000001"/>
    <n v="72.8458690809139"/>
    <m/>
    <s v="Andheri Bus Stn"/>
    <s v="K/W Ward"/>
    <m/>
    <s v="Mumbai Suburban"/>
    <s v="Maharashtra"/>
    <s v="India"/>
    <n v="400069"/>
    <x v="12"/>
    <n v="9"/>
    <n v="5"/>
    <n v="32"/>
    <n v="46"/>
    <n v="700680"/>
    <n v="15232.173913043478"/>
    <n v="29956"/>
    <n v="0.14000000000000001"/>
    <n v="29956.391620350576"/>
    <n v="23.39"/>
    <n v="34"/>
    <n v="23"/>
    <n v="26"/>
    <n v="0"/>
    <n v="0"/>
    <n v="0"/>
  </r>
  <r>
    <s v="India"/>
    <s v="Maharashtra"/>
    <s v="Mumbai"/>
    <x v="13"/>
    <n v="19.062995399999998"/>
    <n v="72.884713599999998"/>
    <m/>
    <s v="Mother Dairy Road"/>
    <s v="L Ward"/>
    <m/>
    <s v="Mumbai Suburban"/>
    <s v="Maharashtra"/>
    <s v="India"/>
    <n v="400024"/>
    <x v="13"/>
    <n v="15"/>
    <n v="6"/>
    <n v="19"/>
    <n v="40"/>
    <n v="778218"/>
    <n v="19455.45"/>
    <n v="49006"/>
    <n v="0.14000000000000001"/>
    <n v="49006.171284634758"/>
    <n v="15.88"/>
    <n v="32"/>
    <n v="23"/>
    <n v="28"/>
    <n v="0"/>
    <n v="0"/>
    <n v="0"/>
  </r>
  <r>
    <s v="India"/>
    <s v="Maharashtra"/>
    <s v="Mumbai"/>
    <x v="14"/>
    <n v="19.075323399999998"/>
    <n v="72.872755799999993"/>
    <m/>
    <s v="Santa Cruz – Chembur Link Road"/>
    <s v="L Ward"/>
    <m/>
    <s v="Mumbai Suburban"/>
    <s v="Maharashtra"/>
    <s v="India"/>
    <n v="400070"/>
    <x v="14"/>
    <n v="3"/>
    <n v="0"/>
    <n v="1"/>
    <n v="4"/>
    <n v="674850"/>
    <n v="168712.5"/>
    <n v="20765"/>
    <n v="0.14000000000000001"/>
    <n v="20764.615384615383"/>
    <n v="32.5"/>
    <n v="23"/>
    <n v="23"/>
    <n v="29"/>
    <n v="0"/>
    <n v="0"/>
    <n v="0"/>
  </r>
  <r>
    <s v="India"/>
    <s v="Maharashtra"/>
    <s v="Mumbai"/>
    <x v="15"/>
    <n v="19.075323399999998"/>
    <n v="72.872755799999993"/>
    <m/>
    <s v="Santa Cruz – Chembur Link Road"/>
    <s v="L Ward"/>
    <m/>
    <s v="Mumbai Suburban"/>
    <s v="Maharashtra"/>
    <s v="India"/>
    <n v="400070"/>
    <x v="15"/>
    <n v="5"/>
    <n v="0"/>
    <n v="3"/>
    <n v="8"/>
    <n v="414040"/>
    <n v="51755"/>
    <n v="21233"/>
    <n v="0.14000000000000001"/>
    <n v="21232.820512820512"/>
    <n v="19.5"/>
    <n v="65"/>
    <n v="43"/>
    <n v="24"/>
    <n v="0"/>
    <n v="0"/>
    <n v="0"/>
  </r>
  <r>
    <s v="India"/>
    <s v="Maharashtra"/>
    <s v="Mumbai"/>
    <x v="16"/>
    <n v="19.0859539"/>
    <n v="72.908238100000005"/>
    <m/>
    <s v="Station Road"/>
    <s v="N Ward"/>
    <m/>
    <s v="Mumbai Suburban"/>
    <s v="Maharashtra"/>
    <s v="India"/>
    <n v="400086"/>
    <x v="16"/>
    <n v="16"/>
    <n v="2"/>
    <n v="2"/>
    <n v="20"/>
    <n v="619556"/>
    <n v="30977.8"/>
    <n v="23866"/>
    <n v="0.14000000000000001"/>
    <n v="23865.793528505394"/>
    <n v="25.96"/>
    <n v="45"/>
    <n v="34"/>
    <n v="24"/>
    <n v="0"/>
    <n v="0"/>
    <n v="0"/>
  </r>
  <r>
    <s v="India"/>
    <s v="Maharashtra"/>
    <s v="Mumbai"/>
    <x v="17"/>
    <n v="19.184677099999998"/>
    <n v="72.8358068"/>
    <m/>
    <s v="Goregaon Link Road"/>
    <s v="P/N Ward"/>
    <m/>
    <s v="Mumbai Suburban"/>
    <s v="Maharashtra"/>
    <s v="India"/>
    <n v="400064"/>
    <x v="17"/>
    <n v="22"/>
    <n v="4"/>
    <n v="23"/>
    <n v="49"/>
    <n v="437849"/>
    <n v="8935.6938775510207"/>
    <n v="17915"/>
    <n v="0.14000000000000001"/>
    <n v="17915.261865793778"/>
    <n v="24.44"/>
    <n v="54"/>
    <n v="53"/>
    <n v="26"/>
    <n v="0"/>
    <n v="0"/>
    <n v="0"/>
  </r>
  <r>
    <s v="India"/>
    <s v="Maharashtra"/>
    <s v="Mumbai"/>
    <x v="18"/>
    <n v="19.1647526"/>
    <n v="72.850017600000001"/>
    <m/>
    <s v="Station Road"/>
    <s v="P/S Ward"/>
    <m/>
    <s v="Mumbai Suburban"/>
    <s v="Maharashtra"/>
    <s v="India"/>
    <n v="400062"/>
    <x v="18"/>
    <n v="2"/>
    <n v="0"/>
    <n v="13"/>
    <n v="15"/>
    <n v="796775"/>
    <n v="53118.333333333336"/>
    <n v="41651"/>
    <n v="0.14000000000000001"/>
    <n v="41650.548876110821"/>
    <n v="19.13"/>
    <n v="65"/>
    <n v="54"/>
    <n v="26"/>
    <n v="0"/>
    <n v="0"/>
    <n v="0"/>
  </r>
  <r>
    <s v="India"/>
    <s v="Maharashtra"/>
    <s v="Mumbai"/>
    <x v="19"/>
    <n v="19.228551599999999"/>
    <n v="72.8521468"/>
    <m/>
    <s v="Lokmanya Tilak Road"/>
    <s v="R/C Ward"/>
    <m/>
    <s v="Mumbai Suburban"/>
    <s v="Maharashtra"/>
    <s v="India"/>
    <s v="400 092"/>
    <x v="19"/>
    <n v="0"/>
    <n v="0"/>
    <n v="6"/>
    <n v="6"/>
    <n v="589886"/>
    <n v="98314.333333333328"/>
    <n v="33177"/>
    <n v="0.14000000000000001"/>
    <n v="33176.940382452194"/>
    <n v="17.78"/>
    <n v="77"/>
    <n v="34"/>
    <n v="27"/>
    <n v="0"/>
    <n v="0"/>
    <n v="0"/>
  </r>
  <r>
    <s v="India"/>
    <s v="Maharashtra"/>
    <s v="Mumbai"/>
    <x v="20"/>
    <n v="19.269947047139802"/>
    <n v="72.854929882120899"/>
    <m/>
    <m/>
    <m/>
    <m/>
    <m/>
    <s v="Maharashtra"/>
    <s v="India"/>
    <m/>
    <x v="20"/>
    <n v="6"/>
    <n v="0"/>
    <n v="3"/>
    <n v="9"/>
    <n v="513077"/>
    <n v="57008.555555555555"/>
    <n v="10262"/>
    <n v="0.14000000000000001"/>
    <n v="10261.540000000001"/>
    <n v="50"/>
    <n v="45"/>
    <n v="45"/>
    <n v="27"/>
    <n v="0"/>
    <n v="0"/>
    <n v="0"/>
  </r>
  <r>
    <s v="India"/>
    <s v="Maharashtra"/>
    <s v="Mumbai"/>
    <x v="21"/>
    <n v="19.214285991156"/>
    <n v="72.886561501352801"/>
    <m/>
    <m/>
    <m/>
    <m/>
    <m/>
    <s v="Maharashtra"/>
    <s v="India"/>
    <m/>
    <x v="21"/>
    <n v="5"/>
    <n v="1"/>
    <n v="17"/>
    <n v="23"/>
    <n v="363827"/>
    <n v="15818.565217391304"/>
    <n v="20213"/>
    <n v="0.14000000000000001"/>
    <n v="20212.611111111109"/>
    <n v="18"/>
    <n v="75"/>
    <n v="34"/>
    <n v="25"/>
    <n v="0"/>
    <n v="0"/>
    <n v="0"/>
  </r>
  <r>
    <s v="India"/>
    <s v="Maharashtra"/>
    <s v="Mumbai"/>
    <x v="22"/>
    <n v="19.143868399999999"/>
    <n v="72.938432700000007"/>
    <m/>
    <m/>
    <s v="S Ward"/>
    <m/>
    <s v="Mumbai Suburban"/>
    <s v="Maharashtra"/>
    <s v="India"/>
    <n v="400042"/>
    <x v="22"/>
    <n v="18"/>
    <n v="5"/>
    <n v="8"/>
    <n v="31"/>
    <n v="691227"/>
    <n v="22297.645161290322"/>
    <n v="10800"/>
    <n v="0.14000000000000001"/>
    <n v="10800.421875"/>
    <n v="64"/>
    <n v="56"/>
    <n v="34"/>
    <n v="24"/>
    <n v="0"/>
    <n v="0"/>
    <n v="0"/>
  </r>
  <r>
    <s v="India"/>
    <s v="Maharashtra"/>
    <s v="Mumbai"/>
    <x v="23"/>
    <n v="19.172290400000001"/>
    <n v="72.956469499999997"/>
    <m/>
    <s v="Pandit Jawaharlal Nehru Road"/>
    <s v="T Ward"/>
    <m/>
    <s v="Mumbai Suburban"/>
    <s v="Maharashtra"/>
    <s v="India"/>
    <n v="400081"/>
    <x v="23"/>
    <n v="3"/>
    <n v="1"/>
    <n v="4"/>
    <n v="8"/>
    <n v="330195"/>
    <n v="41274.375"/>
    <n v="7270"/>
    <n v="0.14000000000000001"/>
    <n v="7269.8150594451781"/>
    <n v="45.42"/>
    <n v="67"/>
    <n v="34"/>
    <n v="24"/>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5"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D28" firstHeaderRow="0" firstDataRow="1" firstDataCol="1"/>
  <pivotFields count="31">
    <pivotField showAll="0"/>
    <pivotField showAll="0"/>
    <pivotField showAll="0"/>
    <pivotField axis="axisRow"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s>
  <rowFields count="1">
    <field x="3"/>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3">
    <i>
      <x/>
    </i>
    <i i="1">
      <x v="1"/>
    </i>
    <i i="2">
      <x v="2"/>
    </i>
  </colItems>
  <dataFields count="3">
    <dataField name="Total cases" fld="18" baseField="3" baseItem="22"/>
    <dataField name="Density per sq km" fld="21" baseField="3" baseItem="12"/>
    <dataField name="Population." fld="19" baseField="3" baseItem="0"/>
  </dataFields>
  <chartFormats count="12">
    <chartFormat chart="4"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2"/>
          </reference>
        </references>
      </pivotArea>
    </chartFormat>
    <chartFormat chart="4" format="4" series="1">
      <pivotArea type="data" outline="0" fieldPosition="0">
        <references count="1">
          <reference field="4294967294" count="1" selected="0">
            <x v="1"/>
          </reference>
        </references>
      </pivotArea>
    </chartFormat>
    <chartFormat chart="8" format="9" series="1">
      <pivotArea type="data" outline="0" fieldPosition="0">
        <references count="1">
          <reference field="4294967294" count="1" selected="0">
            <x v="1"/>
          </reference>
        </references>
      </pivotArea>
    </chartFormat>
    <chartFormat chart="8" format="10" series="1">
      <pivotArea type="data" outline="0" fieldPosition="0">
        <references count="1">
          <reference field="4294967294" count="1" selected="0">
            <x v="2"/>
          </reference>
        </references>
      </pivotArea>
    </chartFormat>
    <chartFormat chart="8" format="11"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2"/>
          </reference>
        </references>
      </pivotArea>
    </chartFormat>
    <chartFormat chart="10" format="7"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1"/>
          </reference>
        </references>
      </pivotArea>
    </chartFormat>
    <chartFormat chart="11" format="9" series="1">
      <pivotArea type="data" outline="0" fieldPosition="0">
        <references count="1">
          <reference field="4294967294" count="1" selected="0">
            <x v="2"/>
          </reference>
        </references>
      </pivotArea>
    </chartFormat>
    <chartFormat chart="11"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8"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3:K28" firstHeaderRow="0" firstDataRow="1" firstDataCol="1"/>
  <pivotFields count="31">
    <pivotField showAll="0"/>
    <pivotField showAll="0"/>
    <pivotField showAll="0"/>
    <pivotField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s>
  <rowFields count="1">
    <field x="1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Density per sq km" fld="21" baseField="14" baseItem="0"/>
    <dataField name="Sum of Supermart/malls" fld="27" baseField="14"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7"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E3:G28" firstHeaderRow="0" firstDataRow="1" firstDataCol="1"/>
  <pivotFields count="31">
    <pivotField showAll="0"/>
    <pivotField showAll="0"/>
    <pivotField showAll="0"/>
    <pivotField showAll="0">
      <items count="25">
        <item x="11"/>
        <item x="12"/>
        <item x="10"/>
        <item x="22"/>
        <item x="19"/>
        <item x="4"/>
        <item x="14"/>
        <item x="15"/>
        <item x="0"/>
        <item x="7"/>
        <item x="20"/>
        <item x="8"/>
        <item x="16"/>
        <item x="18"/>
        <item x="3"/>
        <item x="21"/>
        <item x="9"/>
        <item x="13"/>
        <item x="17"/>
        <item x="2"/>
        <item x="5"/>
        <item x="23"/>
        <item x="6"/>
        <item x="1"/>
        <item t="default"/>
      </items>
    </pivotField>
    <pivotField showAll="0"/>
    <pivotField showAll="0"/>
    <pivotField showAll="0"/>
    <pivotField showAll="0"/>
    <pivotField showAll="0"/>
    <pivotField showAll="0"/>
    <pivotField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pivotField showAll="0"/>
    <pivotField showAll="0"/>
    <pivotField showAll="0"/>
  </pivotFields>
  <rowFields count="1">
    <field x="1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Density per sq km" fld="21" baseField="14" baseItem="10"/>
    <dataField name="Hospitals." fld="26" baseField="14" baseItem="1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6" cacheId="8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6">
  <location ref="A3:C28" firstHeaderRow="0" firstDataRow="1" firstDataCol="1"/>
  <pivotFields count="31">
    <pivotField compact="0" outline="0" showAll="0"/>
    <pivotField compact="0" outline="0" showAll="0"/>
    <pivotField compact="0" outline="0" showAll="0"/>
    <pivotField compact="0" outline="0" showAll="0">
      <items count="25">
        <item x="11"/>
        <item x="12"/>
        <item x="10"/>
        <item x="22"/>
        <item x="19"/>
        <item x="4"/>
        <item x="14"/>
        <item x="15"/>
        <item x="0"/>
        <item x="7"/>
        <item x="20"/>
        <item x="8"/>
        <item x="16"/>
        <item x="18"/>
        <item x="3"/>
        <item x="21"/>
        <item x="9"/>
        <item x="13"/>
        <item x="17"/>
        <item x="2"/>
        <item x="5"/>
        <item x="23"/>
        <item x="6"/>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25">
        <item x="0"/>
        <item x="1"/>
        <item x="2"/>
        <item x="3"/>
        <item x="4"/>
        <item x="5"/>
        <item x="6"/>
        <item x="7"/>
        <item x="8"/>
        <item x="9"/>
        <item x="10"/>
        <item x="11"/>
        <item x="12"/>
        <item x="13"/>
        <item x="14"/>
        <item x="15"/>
        <item x="16"/>
        <item x="17"/>
        <item x="18"/>
        <item x="19"/>
        <item x="20"/>
        <item x="21"/>
        <item x="22"/>
        <item x="23"/>
        <item t="default"/>
      </items>
    </pivotField>
    <pivotField compact="0" outline="0" showAll="0" defaultSubtotal="0"/>
    <pivotField compact="0" outline="0" showAll="0"/>
    <pivotField compact="0" outline="0" showAll="0" defaultSubtota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1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Density per sq km" fld="21" baseField="3" baseItem="11"/>
    <dataField name="Educational institute" fld="25" baseField="3" baseItem="11"/>
  </dataField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ard" sourceName="Ward">
  <pivotTables>
    <pivotTable tabId="9" name="PivotTable15"/>
    <pivotTable tabId="10" name="PivotTable16"/>
    <pivotTable tabId="10" name="PivotTable17"/>
    <pivotTable tabId="10" name="PivotTable18"/>
  </pivotTables>
  <data>
    <tabular pivotCacheId="30188536">
      <items count="24">
        <i x="0" s="1"/>
        <i x="1" s="1"/>
        <i x="2" s="1"/>
        <i x="3" s="1"/>
        <i x="4" s="1"/>
        <i x="5" s="1"/>
        <i x="6" s="1"/>
        <i x="7" s="1"/>
        <i x="8" s="1"/>
        <i x="9" s="1"/>
        <i x="10" s="1"/>
        <i x="11" s="1"/>
        <i x="12" s="1"/>
        <i x="13" s="1"/>
        <i x="14" s="1"/>
        <i x="15" s="1"/>
        <i x="16" s="1"/>
        <i x="17" s="1"/>
        <i x="18" s="1"/>
        <i x="19" s="1"/>
        <i x="20" s="1"/>
        <i x="21"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ard" cache="Slicer_Ward" caption="Ward" columnCount="12" rowHeight="234950"/>
</slicers>
</file>

<file path=xl/tables/table1.xml><?xml version="1.0" encoding="utf-8"?>
<table xmlns="http://schemas.openxmlformats.org/spreadsheetml/2006/main" id="3" name="Table3" displayName="Table3" ref="A1:AE25" totalsRowShown="0">
  <autoFilter ref="A1:AE25"/>
  <sortState xmlns:xlrd2="http://schemas.microsoft.com/office/spreadsheetml/2017/richdata2" ref="A2:AE25">
    <sortCondition ref="O1:O25"/>
  </sortState>
  <tableColumns count="31">
    <tableColumn id="1" name="Country"/>
    <tableColumn id="2" name="State"/>
    <tableColumn id="3" name="City"/>
    <tableColumn id="4" name="Ward location"/>
    <tableColumn id="5" name="latitude"/>
    <tableColumn id="6" name="longitude"/>
    <tableColumn id="7" name="formattedAddress"/>
    <tableColumn id="8" name="road"/>
    <tableColumn id="9" name="suburb"/>
    <tableColumn id="10" name="county"/>
    <tableColumn id="11" name="district"/>
    <tableColumn id="12" name="state2"/>
    <tableColumn id="13" name="country3"/>
    <tableColumn id="14" name="postcode"/>
    <tableColumn id="15" name="Ward"/>
    <tableColumn id="16" name="Number of Cases- Very Congested Area"/>
    <tableColumn id="17" name="Number of Cases- Medium Congested"/>
    <tableColumn id="18" name="Number of Cases- Standalone Structure"/>
    <tableColumn id="19" name="Total number of cases">
      <calculatedColumnFormula>SUM(P2:R2)</calculatedColumnFormula>
    </tableColumn>
    <tableColumn id="20" name="Population"/>
    <tableColumn id="21" name="Population affected per case">
      <calculatedColumnFormula>T2/S2</calculatedColumnFormula>
    </tableColumn>
    <tableColumn id="22" name="Density per square kilometer"/>
    <tableColumn id="23" name="Senior citizen %"/>
    <tableColumn id="31" name="Population per square kilometers" dataDxfId="0">
      <calculatedColumnFormula>Table3[[#This Row],[Population]]/Table3[[#This Row],[Area]]</calculatedColumnFormula>
    </tableColumn>
    <tableColumn id="24" name="Area"/>
    <tableColumn id="25" name="Educational institutes"/>
    <tableColumn id="26" name="Hospitals"/>
    <tableColumn id="27" name="Supermarts/malls"/>
    <tableColumn id="28" name="Critical congestion points"/>
    <tableColumn id="29" name="Commercial complexes"/>
    <tableColumn id="30" name="Residential areas"/>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47A29EE-EA1C-4DB8-A31F-C97768DCBA79}">
  <we:reference id="wa104382047" version="1.0.1.1" store="en-US" storeType="OMEX"/>
  <we:alternateReferences>
    <we:reference id="wa104382047" version="1.0.1.1" store="WA104382047" storeType="OMEX"/>
  </we:alternateReferences>
  <we:properties/>
  <we:bindings>
    <we:binding id="1" type="matrix" appref="{2EC998ED-275D-43D3-A356-883C082A5930}"/>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6"/>
  <sheetViews>
    <sheetView workbookViewId="0">
      <selection activeCell="D24" sqref="D24"/>
    </sheetView>
  </sheetViews>
  <sheetFormatPr defaultRowHeight="14.4" x14ac:dyDescent="0.3"/>
  <sheetData>
    <row r="1" spans="1:20" x14ac:dyDescent="0.3">
      <c r="A1" t="s">
        <v>0</v>
      </c>
      <c r="B1" t="s">
        <v>1</v>
      </c>
      <c r="C1" t="s">
        <v>2</v>
      </c>
      <c r="D1" t="s">
        <v>3</v>
      </c>
      <c r="E1" t="s">
        <v>4</v>
      </c>
      <c r="F1" t="s">
        <v>67</v>
      </c>
      <c r="G1" t="s">
        <v>68</v>
      </c>
      <c r="H1" t="s">
        <v>69</v>
      </c>
      <c r="I1" t="s">
        <v>113</v>
      </c>
      <c r="J1" t="s">
        <v>5</v>
      </c>
      <c r="K1" t="s">
        <v>116</v>
      </c>
      <c r="L1" t="s">
        <v>6</v>
      </c>
      <c r="M1" t="s">
        <v>7</v>
      </c>
      <c r="N1" t="s">
        <v>8</v>
      </c>
      <c r="O1" t="s">
        <v>9</v>
      </c>
      <c r="P1" t="s">
        <v>10</v>
      </c>
      <c r="Q1" t="s">
        <v>11</v>
      </c>
      <c r="R1" t="s">
        <v>12</v>
      </c>
      <c r="S1" t="s">
        <v>13</v>
      </c>
      <c r="T1" t="s">
        <v>14</v>
      </c>
    </row>
    <row r="2" spans="1:20" x14ac:dyDescent="0.3">
      <c r="A2" t="s">
        <v>15</v>
      </c>
      <c r="B2" t="s">
        <v>16</v>
      </c>
      <c r="C2" t="s">
        <v>17</v>
      </c>
      <c r="D2" t="s">
        <v>18</v>
      </c>
      <c r="E2" t="s">
        <v>19</v>
      </c>
      <c r="F2">
        <v>1</v>
      </c>
      <c r="H2">
        <v>5</v>
      </c>
      <c r="I2">
        <f>SUM(F2:H2)</f>
        <v>6</v>
      </c>
      <c r="J2">
        <v>210847</v>
      </c>
      <c r="K2">
        <f>J2/I2</f>
        <v>35141.166666666664</v>
      </c>
      <c r="L2">
        <v>16868</v>
      </c>
      <c r="M2">
        <v>0.14000000000000001</v>
      </c>
      <c r="N2">
        <v>12.5</v>
      </c>
      <c r="O2">
        <v>54</v>
      </c>
      <c r="P2">
        <v>40</v>
      </c>
      <c r="Q2">
        <v>20</v>
      </c>
      <c r="R2">
        <v>0</v>
      </c>
      <c r="S2">
        <v>0</v>
      </c>
      <c r="T2">
        <v>0</v>
      </c>
    </row>
    <row r="3" spans="1:20" x14ac:dyDescent="0.3">
      <c r="A3" t="s">
        <v>15</v>
      </c>
      <c r="B3" t="s">
        <v>16</v>
      </c>
      <c r="C3" t="s">
        <v>17</v>
      </c>
      <c r="D3" t="s">
        <v>20</v>
      </c>
      <c r="E3" t="s">
        <v>21</v>
      </c>
      <c r="F3">
        <v>3</v>
      </c>
      <c r="H3">
        <v>12</v>
      </c>
      <c r="I3">
        <f t="shared" ref="I3:I26" si="0">SUM(F3:H3)</f>
        <v>15</v>
      </c>
      <c r="J3">
        <v>140633</v>
      </c>
      <c r="K3">
        <f t="shared" ref="K3:K26" si="1">J3/I3</f>
        <v>9375.5333333333328</v>
      </c>
      <c r="L3">
        <v>56936</v>
      </c>
      <c r="M3">
        <v>0.14000000000000001</v>
      </c>
      <c r="N3">
        <v>2.4700000000000002</v>
      </c>
      <c r="O3">
        <v>48</v>
      </c>
      <c r="P3">
        <v>32</v>
      </c>
      <c r="Q3">
        <v>32</v>
      </c>
      <c r="R3">
        <v>0</v>
      </c>
      <c r="S3">
        <v>0</v>
      </c>
      <c r="T3">
        <v>0</v>
      </c>
    </row>
    <row r="4" spans="1:20" x14ac:dyDescent="0.3">
      <c r="A4" t="s">
        <v>15</v>
      </c>
      <c r="B4" t="s">
        <v>16</v>
      </c>
      <c r="C4" t="s">
        <v>17</v>
      </c>
      <c r="D4" t="s">
        <v>22</v>
      </c>
      <c r="E4" t="s">
        <v>23</v>
      </c>
      <c r="F4">
        <v>3</v>
      </c>
      <c r="H4">
        <v>9</v>
      </c>
      <c r="I4">
        <f t="shared" si="0"/>
        <v>12</v>
      </c>
      <c r="J4">
        <v>202922</v>
      </c>
      <c r="K4">
        <f t="shared" si="1"/>
        <v>16910.166666666668</v>
      </c>
      <c r="L4">
        <v>114001</v>
      </c>
      <c r="M4">
        <v>0.14000000000000001</v>
      </c>
      <c r="N4">
        <v>1.78</v>
      </c>
      <c r="O4">
        <v>43</v>
      </c>
      <c r="P4">
        <v>23</v>
      </c>
      <c r="Q4">
        <v>21</v>
      </c>
      <c r="R4">
        <v>0</v>
      </c>
      <c r="S4">
        <v>0</v>
      </c>
      <c r="T4">
        <v>0</v>
      </c>
    </row>
    <row r="5" spans="1:20" x14ac:dyDescent="0.3">
      <c r="A5" t="s">
        <v>15</v>
      </c>
      <c r="B5" t="s">
        <v>16</v>
      </c>
      <c r="C5" t="s">
        <v>17</v>
      </c>
      <c r="D5" t="s">
        <v>24</v>
      </c>
      <c r="E5" t="s">
        <v>25</v>
      </c>
      <c r="F5">
        <v>3</v>
      </c>
      <c r="G5">
        <v>3</v>
      </c>
      <c r="H5">
        <v>18</v>
      </c>
      <c r="I5">
        <f t="shared" si="0"/>
        <v>24</v>
      </c>
      <c r="J5">
        <v>382841</v>
      </c>
      <c r="K5">
        <f t="shared" si="1"/>
        <v>15951.708333333334</v>
      </c>
      <c r="L5">
        <v>57744</v>
      </c>
      <c r="M5">
        <v>0.14000000000000001</v>
      </c>
      <c r="N5">
        <v>6.63</v>
      </c>
      <c r="O5">
        <v>23</v>
      </c>
      <c r="P5">
        <v>43</v>
      </c>
      <c r="Q5">
        <v>21</v>
      </c>
      <c r="R5">
        <v>0</v>
      </c>
      <c r="S5">
        <v>0</v>
      </c>
      <c r="T5">
        <v>0</v>
      </c>
    </row>
    <row r="6" spans="1:20" x14ac:dyDescent="0.3">
      <c r="A6" t="s">
        <v>15</v>
      </c>
      <c r="B6" t="s">
        <v>16</v>
      </c>
      <c r="C6" t="s">
        <v>17</v>
      </c>
      <c r="D6" t="s">
        <v>26</v>
      </c>
      <c r="E6" t="s">
        <v>27</v>
      </c>
      <c r="F6">
        <v>2</v>
      </c>
      <c r="G6">
        <v>3</v>
      </c>
      <c r="H6">
        <v>5</v>
      </c>
      <c r="I6">
        <f t="shared" si="0"/>
        <v>10</v>
      </c>
      <c r="J6">
        <v>440335</v>
      </c>
      <c r="K6">
        <f t="shared" si="1"/>
        <v>44033.5</v>
      </c>
      <c r="L6">
        <v>59505</v>
      </c>
      <c r="M6">
        <v>0.14000000000000001</v>
      </c>
      <c r="N6">
        <v>7.4</v>
      </c>
      <c r="O6">
        <v>32</v>
      </c>
      <c r="P6">
        <v>57</v>
      </c>
      <c r="Q6">
        <v>12</v>
      </c>
      <c r="R6">
        <v>0</v>
      </c>
      <c r="S6">
        <v>0</v>
      </c>
      <c r="T6">
        <v>0</v>
      </c>
    </row>
    <row r="7" spans="1:20" x14ac:dyDescent="0.3">
      <c r="A7" t="s">
        <v>15</v>
      </c>
      <c r="B7" t="s">
        <v>16</v>
      </c>
      <c r="C7" t="s">
        <v>17</v>
      </c>
      <c r="D7" t="s">
        <v>30</v>
      </c>
      <c r="E7" t="s">
        <v>31</v>
      </c>
      <c r="F7">
        <v>5</v>
      </c>
      <c r="G7">
        <v>0</v>
      </c>
      <c r="H7">
        <v>10</v>
      </c>
      <c r="I7">
        <f t="shared" si="0"/>
        <v>15</v>
      </c>
      <c r="J7">
        <v>396122</v>
      </c>
      <c r="K7">
        <f t="shared" si="1"/>
        <v>26408.133333333335</v>
      </c>
      <c r="L7">
        <v>28294</v>
      </c>
      <c r="M7">
        <v>0.14000000000000001</v>
      </c>
      <c r="N7">
        <v>14</v>
      </c>
      <c r="O7">
        <v>42</v>
      </c>
      <c r="P7">
        <v>43</v>
      </c>
      <c r="Q7">
        <v>21</v>
      </c>
      <c r="R7">
        <v>0</v>
      </c>
      <c r="S7">
        <v>0</v>
      </c>
      <c r="T7">
        <v>0</v>
      </c>
    </row>
    <row r="8" spans="1:20" x14ac:dyDescent="0.3">
      <c r="A8" t="s">
        <v>15</v>
      </c>
      <c r="B8" t="s">
        <v>16</v>
      </c>
      <c r="C8" t="s">
        <v>17</v>
      </c>
      <c r="D8" t="s">
        <v>28</v>
      </c>
      <c r="E8" t="s">
        <v>29</v>
      </c>
      <c r="F8">
        <v>1</v>
      </c>
      <c r="G8">
        <v>2</v>
      </c>
      <c r="H8">
        <v>11</v>
      </c>
      <c r="I8">
        <f t="shared" si="0"/>
        <v>14</v>
      </c>
      <c r="J8">
        <v>524393</v>
      </c>
      <c r="K8">
        <f t="shared" si="1"/>
        <v>37456.642857142855</v>
      </c>
      <c r="L8">
        <v>40400</v>
      </c>
      <c r="M8">
        <v>0.14000000000000001</v>
      </c>
      <c r="N8">
        <v>12.98</v>
      </c>
      <c r="O8">
        <v>53</v>
      </c>
      <c r="P8">
        <v>32</v>
      </c>
      <c r="Q8">
        <v>23</v>
      </c>
      <c r="R8">
        <v>0</v>
      </c>
      <c r="S8">
        <v>0</v>
      </c>
      <c r="T8">
        <v>0</v>
      </c>
    </row>
    <row r="9" spans="1:20" x14ac:dyDescent="0.3">
      <c r="A9" t="s">
        <v>15</v>
      </c>
      <c r="B9" t="s">
        <v>16</v>
      </c>
      <c r="C9" t="s">
        <v>17</v>
      </c>
      <c r="D9" t="s">
        <v>34</v>
      </c>
      <c r="E9" t="s">
        <v>35</v>
      </c>
      <c r="F9">
        <v>6</v>
      </c>
      <c r="G9">
        <v>0</v>
      </c>
      <c r="H9">
        <v>12</v>
      </c>
      <c r="I9">
        <f t="shared" si="0"/>
        <v>18</v>
      </c>
      <c r="J9">
        <v>457931</v>
      </c>
      <c r="K9">
        <f t="shared" si="1"/>
        <v>25440.611111111109</v>
      </c>
      <c r="L9">
        <v>45793</v>
      </c>
      <c r="M9">
        <v>0.14000000000000001</v>
      </c>
      <c r="N9">
        <v>10</v>
      </c>
      <c r="O9">
        <v>54</v>
      </c>
      <c r="P9">
        <v>21</v>
      </c>
      <c r="Q9">
        <v>21</v>
      </c>
      <c r="R9">
        <v>0</v>
      </c>
      <c r="S9">
        <v>0</v>
      </c>
      <c r="T9">
        <v>0</v>
      </c>
    </row>
    <row r="10" spans="1:20" x14ac:dyDescent="0.3">
      <c r="A10" t="s">
        <v>15</v>
      </c>
      <c r="B10" t="s">
        <v>16</v>
      </c>
      <c r="C10" t="s">
        <v>17</v>
      </c>
      <c r="D10" t="s">
        <v>32</v>
      </c>
      <c r="E10" t="s">
        <v>33</v>
      </c>
      <c r="F10">
        <v>24</v>
      </c>
      <c r="G10">
        <v>3</v>
      </c>
      <c r="H10">
        <v>28</v>
      </c>
      <c r="I10">
        <f t="shared" si="0"/>
        <v>55</v>
      </c>
      <c r="J10">
        <v>582007</v>
      </c>
      <c r="K10">
        <f t="shared" si="1"/>
        <v>10581.945454545454</v>
      </c>
      <c r="L10">
        <v>64168</v>
      </c>
      <c r="M10">
        <v>0.14000000000000001</v>
      </c>
      <c r="N10">
        <v>9.07</v>
      </c>
      <c r="O10">
        <v>33</v>
      </c>
      <c r="P10">
        <v>33</v>
      </c>
      <c r="Q10">
        <v>23</v>
      </c>
      <c r="R10">
        <v>0</v>
      </c>
      <c r="S10">
        <v>0</v>
      </c>
      <c r="T10">
        <v>0</v>
      </c>
    </row>
    <row r="11" spans="1:20" x14ac:dyDescent="0.3">
      <c r="A11" t="s">
        <v>15</v>
      </c>
      <c r="B11" t="s">
        <v>16</v>
      </c>
      <c r="C11" t="s">
        <v>17</v>
      </c>
      <c r="D11" t="s">
        <v>36</v>
      </c>
      <c r="E11" t="s">
        <v>37</v>
      </c>
      <c r="F11">
        <v>11</v>
      </c>
      <c r="G11">
        <v>1</v>
      </c>
      <c r="H11">
        <v>16</v>
      </c>
      <c r="I11">
        <f t="shared" si="0"/>
        <v>28</v>
      </c>
      <c r="J11">
        <v>580835</v>
      </c>
      <c r="K11">
        <f t="shared" si="1"/>
        <v>20744.107142857141</v>
      </c>
      <c r="L11">
        <v>42929</v>
      </c>
      <c r="M11">
        <v>0.14000000000000001</v>
      </c>
      <c r="N11">
        <v>13.53</v>
      </c>
      <c r="O11">
        <v>54</v>
      </c>
      <c r="P11">
        <v>23</v>
      </c>
      <c r="Q11">
        <v>32</v>
      </c>
      <c r="R11">
        <v>0</v>
      </c>
      <c r="S11">
        <v>0</v>
      </c>
      <c r="T11">
        <v>0</v>
      </c>
    </row>
    <row r="12" spans="1:20" x14ac:dyDescent="0.3">
      <c r="A12" t="s">
        <v>15</v>
      </c>
      <c r="B12" t="s">
        <v>16</v>
      </c>
      <c r="C12" t="s">
        <v>17</v>
      </c>
      <c r="D12" t="s">
        <v>38</v>
      </c>
      <c r="E12" t="s">
        <v>39</v>
      </c>
      <c r="F12">
        <v>14</v>
      </c>
      <c r="G12">
        <v>2</v>
      </c>
      <c r="H12">
        <v>0</v>
      </c>
      <c r="I12">
        <f t="shared" si="0"/>
        <v>16</v>
      </c>
      <c r="J12">
        <v>337391</v>
      </c>
      <c r="K12">
        <f t="shared" si="1"/>
        <v>21086.9375</v>
      </c>
      <c r="L12">
        <v>29211</v>
      </c>
      <c r="M12">
        <v>0.14000000000000001</v>
      </c>
      <c r="N12">
        <v>11.55</v>
      </c>
      <c r="O12">
        <v>65</v>
      </c>
      <c r="P12">
        <v>42</v>
      </c>
      <c r="Q12">
        <v>25</v>
      </c>
      <c r="R12">
        <v>0</v>
      </c>
      <c r="S12">
        <v>0</v>
      </c>
      <c r="T12">
        <v>0</v>
      </c>
    </row>
    <row r="13" spans="1:20" x14ac:dyDescent="0.3">
      <c r="A13" t="s">
        <v>15</v>
      </c>
      <c r="B13" t="s">
        <v>16</v>
      </c>
      <c r="C13" t="s">
        <v>17</v>
      </c>
      <c r="D13" t="s">
        <v>40</v>
      </c>
      <c r="E13" t="s">
        <v>41</v>
      </c>
      <c r="F13">
        <v>10</v>
      </c>
      <c r="G13">
        <v>3</v>
      </c>
      <c r="H13">
        <v>21</v>
      </c>
      <c r="I13">
        <f t="shared" si="0"/>
        <v>34</v>
      </c>
      <c r="J13">
        <v>810002</v>
      </c>
      <c r="K13">
        <f t="shared" si="1"/>
        <v>23823.588235294119</v>
      </c>
      <c r="L13">
        <v>32688</v>
      </c>
      <c r="M13">
        <v>0.14000000000000001</v>
      </c>
      <c r="N13">
        <v>24.78</v>
      </c>
      <c r="O13">
        <v>45</v>
      </c>
      <c r="P13">
        <v>24</v>
      </c>
      <c r="Q13">
        <v>26</v>
      </c>
      <c r="R13">
        <v>0</v>
      </c>
      <c r="S13">
        <v>0</v>
      </c>
      <c r="T13">
        <v>0</v>
      </c>
    </row>
    <row r="14" spans="1:20" x14ac:dyDescent="0.3">
      <c r="A14" t="s">
        <v>15</v>
      </c>
      <c r="B14" t="s">
        <v>16</v>
      </c>
      <c r="C14" t="s">
        <v>17</v>
      </c>
      <c r="D14" t="s">
        <v>42</v>
      </c>
      <c r="E14" t="s">
        <v>43</v>
      </c>
      <c r="F14">
        <v>9</v>
      </c>
      <c r="G14">
        <v>5</v>
      </c>
      <c r="H14">
        <v>32</v>
      </c>
      <c r="I14">
        <f t="shared" si="0"/>
        <v>46</v>
      </c>
      <c r="J14">
        <v>700680</v>
      </c>
      <c r="K14">
        <f t="shared" si="1"/>
        <v>15232.173913043478</v>
      </c>
      <c r="L14">
        <v>29956</v>
      </c>
      <c r="M14">
        <v>0.14000000000000001</v>
      </c>
      <c r="N14">
        <v>23.39</v>
      </c>
      <c r="O14">
        <v>34</v>
      </c>
      <c r="P14">
        <v>23</v>
      </c>
      <c r="Q14">
        <v>26</v>
      </c>
      <c r="R14">
        <v>0</v>
      </c>
      <c r="S14">
        <v>0</v>
      </c>
      <c r="T14">
        <v>0</v>
      </c>
    </row>
    <row r="15" spans="1:20" x14ac:dyDescent="0.3">
      <c r="A15" t="s">
        <v>15</v>
      </c>
      <c r="B15" t="s">
        <v>16</v>
      </c>
      <c r="C15" t="s">
        <v>17</v>
      </c>
      <c r="D15" t="s">
        <v>44</v>
      </c>
      <c r="E15" t="s">
        <v>45</v>
      </c>
      <c r="F15">
        <v>15</v>
      </c>
      <c r="G15">
        <v>6</v>
      </c>
      <c r="H15">
        <v>19</v>
      </c>
      <c r="I15">
        <f t="shared" si="0"/>
        <v>40</v>
      </c>
      <c r="J15">
        <v>778218</v>
      </c>
      <c r="K15">
        <f t="shared" si="1"/>
        <v>19455.45</v>
      </c>
      <c r="L15">
        <v>49006</v>
      </c>
      <c r="M15">
        <v>0.14000000000000001</v>
      </c>
      <c r="N15">
        <v>15.88</v>
      </c>
      <c r="O15">
        <v>32</v>
      </c>
      <c r="P15">
        <v>23</v>
      </c>
      <c r="Q15">
        <v>28</v>
      </c>
      <c r="R15">
        <v>0</v>
      </c>
      <c r="S15">
        <v>0</v>
      </c>
      <c r="T15">
        <v>0</v>
      </c>
    </row>
    <row r="16" spans="1:20" x14ac:dyDescent="0.3">
      <c r="A16" t="s">
        <v>15</v>
      </c>
      <c r="B16" t="s">
        <v>16</v>
      </c>
      <c r="C16" t="s">
        <v>17</v>
      </c>
      <c r="D16" t="s">
        <v>46</v>
      </c>
      <c r="E16" t="s">
        <v>47</v>
      </c>
      <c r="F16">
        <v>3</v>
      </c>
      <c r="G16">
        <v>0</v>
      </c>
      <c r="H16">
        <v>1</v>
      </c>
      <c r="I16">
        <f t="shared" si="0"/>
        <v>4</v>
      </c>
      <c r="J16">
        <v>674850</v>
      </c>
      <c r="K16">
        <f t="shared" si="1"/>
        <v>168712.5</v>
      </c>
      <c r="L16">
        <v>20765</v>
      </c>
      <c r="M16">
        <v>0.14000000000000001</v>
      </c>
      <c r="N16">
        <v>32.5</v>
      </c>
      <c r="O16">
        <v>23</v>
      </c>
      <c r="P16">
        <v>23</v>
      </c>
      <c r="Q16">
        <v>29</v>
      </c>
      <c r="R16">
        <v>0</v>
      </c>
      <c r="S16">
        <v>0</v>
      </c>
      <c r="T16">
        <v>0</v>
      </c>
    </row>
    <row r="17" spans="1:20" x14ac:dyDescent="0.3">
      <c r="A17" t="s">
        <v>15</v>
      </c>
      <c r="B17" t="s">
        <v>16</v>
      </c>
      <c r="C17" t="s">
        <v>17</v>
      </c>
      <c r="D17" t="s">
        <v>48</v>
      </c>
      <c r="E17" t="s">
        <v>49</v>
      </c>
      <c r="F17">
        <v>5</v>
      </c>
      <c r="G17">
        <v>0</v>
      </c>
      <c r="H17">
        <v>3</v>
      </c>
      <c r="I17">
        <f t="shared" si="0"/>
        <v>8</v>
      </c>
      <c r="J17">
        <v>414040</v>
      </c>
      <c r="K17">
        <f t="shared" si="1"/>
        <v>51755</v>
      </c>
      <c r="L17">
        <v>21233</v>
      </c>
      <c r="M17">
        <v>0.14000000000000001</v>
      </c>
      <c r="N17">
        <v>19.5</v>
      </c>
      <c r="O17">
        <v>65</v>
      </c>
      <c r="P17">
        <v>43</v>
      </c>
      <c r="Q17">
        <v>24</v>
      </c>
      <c r="R17">
        <v>0</v>
      </c>
      <c r="S17">
        <v>0</v>
      </c>
      <c r="T17">
        <v>0</v>
      </c>
    </row>
    <row r="18" spans="1:20" x14ac:dyDescent="0.3">
      <c r="A18" t="s">
        <v>15</v>
      </c>
      <c r="B18" t="s">
        <v>16</v>
      </c>
      <c r="C18" t="s">
        <v>17</v>
      </c>
      <c r="D18" t="s">
        <v>50</v>
      </c>
      <c r="E18" t="s">
        <v>51</v>
      </c>
      <c r="F18">
        <v>16</v>
      </c>
      <c r="G18">
        <v>2</v>
      </c>
      <c r="H18">
        <v>2</v>
      </c>
      <c r="I18">
        <f t="shared" si="0"/>
        <v>20</v>
      </c>
      <c r="J18">
        <v>619556</v>
      </c>
      <c r="K18">
        <f t="shared" si="1"/>
        <v>30977.8</v>
      </c>
      <c r="L18">
        <v>23866</v>
      </c>
      <c r="M18">
        <v>0.14000000000000001</v>
      </c>
      <c r="N18">
        <v>25.96</v>
      </c>
      <c r="O18">
        <v>45</v>
      </c>
      <c r="P18">
        <v>34</v>
      </c>
      <c r="Q18">
        <v>24</v>
      </c>
      <c r="R18">
        <v>0</v>
      </c>
      <c r="S18">
        <v>0</v>
      </c>
      <c r="T18">
        <v>0</v>
      </c>
    </row>
    <row r="19" spans="1:20" x14ac:dyDescent="0.3">
      <c r="A19" t="s">
        <v>15</v>
      </c>
      <c r="B19" t="s">
        <v>16</v>
      </c>
      <c r="C19" t="s">
        <v>17</v>
      </c>
      <c r="D19" t="s">
        <v>54</v>
      </c>
      <c r="E19" t="s">
        <v>55</v>
      </c>
      <c r="F19">
        <v>22</v>
      </c>
      <c r="G19">
        <v>4</v>
      </c>
      <c r="H19">
        <v>23</v>
      </c>
      <c r="I19">
        <f t="shared" si="0"/>
        <v>49</v>
      </c>
      <c r="J19">
        <v>437849</v>
      </c>
      <c r="K19">
        <f t="shared" si="1"/>
        <v>8935.6938775510207</v>
      </c>
      <c r="L19">
        <v>17915</v>
      </c>
      <c r="M19">
        <v>0.14000000000000001</v>
      </c>
      <c r="N19">
        <v>24.44</v>
      </c>
      <c r="O19">
        <v>54</v>
      </c>
      <c r="P19">
        <v>53</v>
      </c>
      <c r="Q19">
        <v>26</v>
      </c>
      <c r="R19">
        <v>0</v>
      </c>
      <c r="S19">
        <v>0</v>
      </c>
      <c r="T19">
        <v>0</v>
      </c>
    </row>
    <row r="20" spans="1:20" x14ac:dyDescent="0.3">
      <c r="A20" t="s">
        <v>15</v>
      </c>
      <c r="B20" t="s">
        <v>16</v>
      </c>
      <c r="C20" t="s">
        <v>17</v>
      </c>
      <c r="D20" t="s">
        <v>52</v>
      </c>
      <c r="E20" t="s">
        <v>53</v>
      </c>
      <c r="F20">
        <v>2</v>
      </c>
      <c r="H20">
        <v>13</v>
      </c>
      <c r="I20">
        <f t="shared" si="0"/>
        <v>15</v>
      </c>
      <c r="J20">
        <v>796775</v>
      </c>
      <c r="K20">
        <f t="shared" si="1"/>
        <v>53118.333333333336</v>
      </c>
      <c r="L20">
        <v>41651</v>
      </c>
      <c r="M20">
        <v>0.14000000000000001</v>
      </c>
      <c r="N20">
        <v>19.13</v>
      </c>
      <c r="O20">
        <v>65</v>
      </c>
      <c r="P20">
        <v>54</v>
      </c>
      <c r="Q20">
        <v>26</v>
      </c>
      <c r="R20">
        <v>0</v>
      </c>
      <c r="S20">
        <v>0</v>
      </c>
      <c r="T20">
        <v>0</v>
      </c>
    </row>
    <row r="21" spans="1:20" x14ac:dyDescent="0.3">
      <c r="A21" t="s">
        <v>15</v>
      </c>
      <c r="B21" t="s">
        <v>16</v>
      </c>
      <c r="C21" t="s">
        <v>17</v>
      </c>
      <c r="D21" t="s">
        <v>58</v>
      </c>
      <c r="E21" t="s">
        <v>59</v>
      </c>
      <c r="F21">
        <v>0</v>
      </c>
      <c r="G21">
        <v>0</v>
      </c>
      <c r="H21">
        <v>6</v>
      </c>
      <c r="I21">
        <f t="shared" si="0"/>
        <v>6</v>
      </c>
      <c r="J21">
        <v>589886</v>
      </c>
      <c r="K21">
        <f t="shared" si="1"/>
        <v>98314.333333333328</v>
      </c>
      <c r="L21">
        <v>33177</v>
      </c>
      <c r="M21">
        <v>0.14000000000000001</v>
      </c>
      <c r="N21">
        <v>17.78</v>
      </c>
      <c r="O21">
        <v>77</v>
      </c>
      <c r="P21">
        <v>34</v>
      </c>
      <c r="Q21">
        <v>27</v>
      </c>
      <c r="R21">
        <v>0</v>
      </c>
      <c r="S21">
        <v>0</v>
      </c>
      <c r="T21">
        <v>0</v>
      </c>
    </row>
    <row r="22" spans="1:20" x14ac:dyDescent="0.3">
      <c r="A22" t="s">
        <v>15</v>
      </c>
      <c r="B22" t="s">
        <v>16</v>
      </c>
      <c r="C22" t="s">
        <v>17</v>
      </c>
      <c r="D22" t="s">
        <v>60</v>
      </c>
      <c r="E22" t="s">
        <v>61</v>
      </c>
      <c r="F22">
        <v>6</v>
      </c>
      <c r="G22">
        <v>0</v>
      </c>
      <c r="H22">
        <v>3</v>
      </c>
      <c r="I22">
        <f t="shared" si="0"/>
        <v>9</v>
      </c>
      <c r="J22">
        <v>513077</v>
      </c>
      <c r="K22">
        <f t="shared" si="1"/>
        <v>57008.555555555555</v>
      </c>
      <c r="L22">
        <v>10262</v>
      </c>
      <c r="M22">
        <v>0.14000000000000001</v>
      </c>
      <c r="N22">
        <v>50</v>
      </c>
      <c r="O22">
        <v>45</v>
      </c>
      <c r="P22">
        <v>45</v>
      </c>
      <c r="Q22">
        <v>27</v>
      </c>
      <c r="R22">
        <v>0</v>
      </c>
      <c r="S22">
        <v>0</v>
      </c>
      <c r="T22">
        <v>0</v>
      </c>
    </row>
    <row r="23" spans="1:20" x14ac:dyDescent="0.3">
      <c r="A23" t="s">
        <v>15</v>
      </c>
      <c r="B23" t="s">
        <v>16</v>
      </c>
      <c r="C23" t="s">
        <v>17</v>
      </c>
      <c r="D23" t="s">
        <v>56</v>
      </c>
      <c r="E23" t="s">
        <v>57</v>
      </c>
      <c r="F23">
        <v>5</v>
      </c>
      <c r="G23">
        <v>1</v>
      </c>
      <c r="H23">
        <v>17</v>
      </c>
      <c r="I23">
        <f t="shared" si="0"/>
        <v>23</v>
      </c>
      <c r="J23">
        <v>363827</v>
      </c>
      <c r="K23">
        <f t="shared" si="1"/>
        <v>15818.565217391304</v>
      </c>
      <c r="L23">
        <v>20213</v>
      </c>
      <c r="M23">
        <v>0.14000000000000001</v>
      </c>
      <c r="N23">
        <v>18</v>
      </c>
      <c r="O23">
        <v>75</v>
      </c>
      <c r="P23">
        <v>34</v>
      </c>
      <c r="Q23">
        <v>25</v>
      </c>
      <c r="R23">
        <v>0</v>
      </c>
      <c r="S23">
        <v>0</v>
      </c>
      <c r="T23">
        <v>0</v>
      </c>
    </row>
    <row r="24" spans="1:20" x14ac:dyDescent="0.3">
      <c r="A24" t="s">
        <v>15</v>
      </c>
      <c r="B24" t="s">
        <v>16</v>
      </c>
      <c r="C24" t="s">
        <v>17</v>
      </c>
      <c r="D24" t="s">
        <v>62</v>
      </c>
      <c r="E24" t="s">
        <v>63</v>
      </c>
      <c r="F24">
        <v>18</v>
      </c>
      <c r="G24">
        <v>5</v>
      </c>
      <c r="H24">
        <v>8</v>
      </c>
      <c r="I24">
        <f t="shared" si="0"/>
        <v>31</v>
      </c>
      <c r="J24">
        <v>691227</v>
      </c>
      <c r="K24">
        <f t="shared" si="1"/>
        <v>22297.645161290322</v>
      </c>
      <c r="L24">
        <v>10800</v>
      </c>
      <c r="M24">
        <v>0.14000000000000001</v>
      </c>
      <c r="N24">
        <v>64</v>
      </c>
      <c r="O24">
        <v>56</v>
      </c>
      <c r="P24">
        <v>34</v>
      </c>
      <c r="Q24">
        <v>24</v>
      </c>
      <c r="R24">
        <v>0</v>
      </c>
      <c r="S24">
        <v>0</v>
      </c>
      <c r="T24">
        <v>0</v>
      </c>
    </row>
    <row r="25" spans="1:20" x14ac:dyDescent="0.3">
      <c r="A25" t="s">
        <v>15</v>
      </c>
      <c r="B25" t="s">
        <v>16</v>
      </c>
      <c r="C25" t="s">
        <v>17</v>
      </c>
      <c r="D25" t="s">
        <v>64</v>
      </c>
      <c r="E25" t="s">
        <v>65</v>
      </c>
      <c r="F25">
        <v>3</v>
      </c>
      <c r="G25">
        <v>1</v>
      </c>
      <c r="H25">
        <v>4</v>
      </c>
      <c r="I25">
        <f t="shared" si="0"/>
        <v>8</v>
      </c>
      <c r="J25">
        <v>330195</v>
      </c>
      <c r="K25">
        <f t="shared" si="1"/>
        <v>41274.375</v>
      </c>
      <c r="L25">
        <v>7270</v>
      </c>
      <c r="M25">
        <v>0.14000000000000001</v>
      </c>
      <c r="N25">
        <v>45.42</v>
      </c>
      <c r="O25">
        <v>67</v>
      </c>
      <c r="P25">
        <v>34</v>
      </c>
      <c r="Q25">
        <v>24</v>
      </c>
      <c r="R25">
        <v>0</v>
      </c>
      <c r="S25">
        <v>0</v>
      </c>
      <c r="T25">
        <v>0</v>
      </c>
    </row>
    <row r="26" spans="1:20" x14ac:dyDescent="0.3">
      <c r="D26" t="s">
        <v>66</v>
      </c>
      <c r="E26" t="s">
        <v>66</v>
      </c>
      <c r="F26">
        <f>SUM(F2:F25)</f>
        <v>187</v>
      </c>
      <c r="G26">
        <f>SUM(G2:G25)</f>
        <v>41</v>
      </c>
      <c r="H26">
        <f>SUM(H2:H25)</f>
        <v>278</v>
      </c>
      <c r="I26">
        <f t="shared" si="0"/>
        <v>506</v>
      </c>
      <c r="J26">
        <f>SUM(J2:J25)</f>
        <v>11976439</v>
      </c>
      <c r="K26">
        <f t="shared" si="1"/>
        <v>23668.851778656128</v>
      </c>
      <c r="L26">
        <f>SUM(L2:L25)</f>
        <v>874651</v>
      </c>
      <c r="M26">
        <f>SUM(M2:M25)</f>
        <v>3.3600000000000021</v>
      </c>
      <c r="N26">
        <f>SUM(N2:N25)</f>
        <v>482.69</v>
      </c>
      <c r="O26">
        <f>SUM(O2:O25)</f>
        <v>1184</v>
      </c>
      <c r="P26">
        <f>SUM(P2:P25)</f>
        <v>847</v>
      </c>
      <c r="Q26">
        <f>SUM(Q2:Q25)</f>
        <v>587</v>
      </c>
      <c r="R26">
        <f>SUM(R2:R25)</f>
        <v>0</v>
      </c>
      <c r="S26">
        <f>SUM(S2:S25)</f>
        <v>0</v>
      </c>
      <c r="T26">
        <f>SUM(T2:T25)</f>
        <v>0</v>
      </c>
    </row>
  </sheetData>
  <autoFilter ref="A1:T26"/>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28"/>
  <sheetViews>
    <sheetView workbookViewId="0">
      <selection activeCell="B25" sqref="B25"/>
    </sheetView>
  </sheetViews>
  <sheetFormatPr defaultRowHeight="14.4" x14ac:dyDescent="0.3"/>
  <cols>
    <col min="1" max="1" width="13.44140625" bestFit="1" customWidth="1"/>
    <col min="2" max="2" width="10.109375" bestFit="1" customWidth="1"/>
    <col min="3" max="3" width="16" bestFit="1" customWidth="1"/>
    <col min="4" max="5" width="10.77734375" bestFit="1" customWidth="1"/>
    <col min="6" max="8" width="12" bestFit="1" customWidth="1"/>
    <col min="9" max="9" width="9" bestFit="1" customWidth="1"/>
    <col min="10" max="10" width="12" bestFit="1" customWidth="1"/>
    <col min="11" max="11" width="11" bestFit="1" customWidth="1"/>
    <col min="12" max="15" width="12" bestFit="1" customWidth="1"/>
    <col min="16" max="16" width="8" bestFit="1" customWidth="1"/>
    <col min="17" max="18" width="12" bestFit="1" customWidth="1"/>
    <col min="19" max="19" width="10" bestFit="1" customWidth="1"/>
    <col min="20" max="20" width="8" bestFit="1" customWidth="1"/>
    <col min="21" max="21" width="6" bestFit="1" customWidth="1"/>
    <col min="22" max="24" width="12" bestFit="1" customWidth="1"/>
    <col min="25" max="25" width="9" bestFit="1" customWidth="1"/>
    <col min="26" max="26" width="10.77734375" bestFit="1" customWidth="1"/>
  </cols>
  <sheetData>
    <row r="3" spans="1:4" x14ac:dyDescent="0.3">
      <c r="A3" s="1" t="s">
        <v>114</v>
      </c>
      <c r="B3" t="s">
        <v>122</v>
      </c>
      <c r="C3" t="s">
        <v>123</v>
      </c>
      <c r="D3" t="s">
        <v>124</v>
      </c>
    </row>
    <row r="4" spans="1:4" x14ac:dyDescent="0.3">
      <c r="A4" s="2" t="s">
        <v>40</v>
      </c>
      <c r="B4" s="3">
        <v>34</v>
      </c>
      <c r="C4" s="3">
        <v>32688</v>
      </c>
      <c r="D4" s="3">
        <v>810002</v>
      </c>
    </row>
    <row r="5" spans="1:4" x14ac:dyDescent="0.3">
      <c r="A5" s="2" t="s">
        <v>42</v>
      </c>
      <c r="B5" s="3">
        <v>46</v>
      </c>
      <c r="C5" s="3">
        <v>29956</v>
      </c>
      <c r="D5" s="3">
        <v>700680</v>
      </c>
    </row>
    <row r="6" spans="1:4" x14ac:dyDescent="0.3">
      <c r="A6" s="2" t="s">
        <v>38</v>
      </c>
      <c r="B6" s="3">
        <v>16</v>
      </c>
      <c r="C6" s="3">
        <v>29211</v>
      </c>
      <c r="D6" s="3">
        <v>337391</v>
      </c>
    </row>
    <row r="7" spans="1:4" x14ac:dyDescent="0.3">
      <c r="A7" s="2" t="s">
        <v>62</v>
      </c>
      <c r="B7" s="3">
        <v>31</v>
      </c>
      <c r="C7" s="3">
        <v>10800</v>
      </c>
      <c r="D7" s="3">
        <v>691227</v>
      </c>
    </row>
    <row r="8" spans="1:4" x14ac:dyDescent="0.3">
      <c r="A8" s="2" t="s">
        <v>58</v>
      </c>
      <c r="B8" s="3">
        <v>6</v>
      </c>
      <c r="C8" s="3">
        <v>33177</v>
      </c>
      <c r="D8" s="3">
        <v>589886</v>
      </c>
    </row>
    <row r="9" spans="1:4" x14ac:dyDescent="0.3">
      <c r="A9" s="2" t="s">
        <v>26</v>
      </c>
      <c r="B9" s="3">
        <v>10</v>
      </c>
      <c r="C9" s="3">
        <v>59505</v>
      </c>
      <c r="D9" s="3">
        <v>440335</v>
      </c>
    </row>
    <row r="10" spans="1:4" x14ac:dyDescent="0.3">
      <c r="A10" s="2" t="s">
        <v>46</v>
      </c>
      <c r="B10" s="3">
        <v>4</v>
      </c>
      <c r="C10" s="3">
        <v>20765</v>
      </c>
      <c r="D10" s="3">
        <v>674850</v>
      </c>
    </row>
    <row r="11" spans="1:4" x14ac:dyDescent="0.3">
      <c r="A11" s="2" t="s">
        <v>48</v>
      </c>
      <c r="B11" s="3">
        <v>8</v>
      </c>
      <c r="C11" s="3">
        <v>21233</v>
      </c>
      <c r="D11" s="3">
        <v>414040</v>
      </c>
    </row>
    <row r="12" spans="1:4" x14ac:dyDescent="0.3">
      <c r="A12" s="2" t="s">
        <v>18</v>
      </c>
      <c r="B12" s="3">
        <v>6</v>
      </c>
      <c r="C12" s="3">
        <v>16868</v>
      </c>
      <c r="D12" s="3">
        <v>210847</v>
      </c>
    </row>
    <row r="13" spans="1:4" x14ac:dyDescent="0.3">
      <c r="A13" s="2" t="s">
        <v>34</v>
      </c>
      <c r="B13" s="3">
        <v>18</v>
      </c>
      <c r="C13" s="3">
        <v>45793</v>
      </c>
      <c r="D13" s="3">
        <v>457931</v>
      </c>
    </row>
    <row r="14" spans="1:4" x14ac:dyDescent="0.3">
      <c r="A14" s="2" t="s">
        <v>60</v>
      </c>
      <c r="B14" s="3">
        <v>9</v>
      </c>
      <c r="C14" s="3">
        <v>10262</v>
      </c>
      <c r="D14" s="3">
        <v>513077</v>
      </c>
    </row>
    <row r="15" spans="1:4" x14ac:dyDescent="0.3">
      <c r="A15" s="2" t="s">
        <v>32</v>
      </c>
      <c r="B15" s="3">
        <v>55</v>
      </c>
      <c r="C15" s="3">
        <v>64168</v>
      </c>
      <c r="D15" s="3">
        <v>582007</v>
      </c>
    </row>
    <row r="16" spans="1:4" x14ac:dyDescent="0.3">
      <c r="A16" s="2" t="s">
        <v>50</v>
      </c>
      <c r="B16" s="3">
        <v>20</v>
      </c>
      <c r="C16" s="3">
        <v>23866</v>
      </c>
      <c r="D16" s="3">
        <v>619556</v>
      </c>
    </row>
    <row r="17" spans="1:4" x14ac:dyDescent="0.3">
      <c r="A17" s="2" t="s">
        <v>52</v>
      </c>
      <c r="B17" s="3">
        <v>15</v>
      </c>
      <c r="C17" s="3">
        <v>41651</v>
      </c>
      <c r="D17" s="3">
        <v>796775</v>
      </c>
    </row>
    <row r="18" spans="1:4" x14ac:dyDescent="0.3">
      <c r="A18" s="2" t="s">
        <v>24</v>
      </c>
      <c r="B18" s="3">
        <v>24</v>
      </c>
      <c r="C18" s="3">
        <v>57744</v>
      </c>
      <c r="D18" s="3">
        <v>382841</v>
      </c>
    </row>
    <row r="19" spans="1:4" x14ac:dyDescent="0.3">
      <c r="A19" s="2" t="s">
        <v>56</v>
      </c>
      <c r="B19" s="3">
        <v>23</v>
      </c>
      <c r="C19" s="3">
        <v>20213</v>
      </c>
      <c r="D19" s="3">
        <v>363827</v>
      </c>
    </row>
    <row r="20" spans="1:4" x14ac:dyDescent="0.3">
      <c r="A20" s="2" t="s">
        <v>36</v>
      </c>
      <c r="B20" s="3">
        <v>28</v>
      </c>
      <c r="C20" s="3">
        <v>42929</v>
      </c>
      <c r="D20" s="3">
        <v>580835</v>
      </c>
    </row>
    <row r="21" spans="1:4" x14ac:dyDescent="0.3">
      <c r="A21" s="2" t="s">
        <v>44</v>
      </c>
      <c r="B21" s="3">
        <v>40</v>
      </c>
      <c r="C21" s="3">
        <v>49006</v>
      </c>
      <c r="D21" s="3">
        <v>778218</v>
      </c>
    </row>
    <row r="22" spans="1:4" x14ac:dyDescent="0.3">
      <c r="A22" s="2" t="s">
        <v>54</v>
      </c>
      <c r="B22" s="3">
        <v>49</v>
      </c>
      <c r="C22" s="3">
        <v>17915</v>
      </c>
      <c r="D22" s="3">
        <v>437849</v>
      </c>
    </row>
    <row r="23" spans="1:4" x14ac:dyDescent="0.3">
      <c r="A23" s="2" t="s">
        <v>22</v>
      </c>
      <c r="B23" s="3">
        <v>12</v>
      </c>
      <c r="C23" s="3">
        <v>114001</v>
      </c>
      <c r="D23" s="3">
        <v>202922</v>
      </c>
    </row>
    <row r="24" spans="1:4" x14ac:dyDescent="0.3">
      <c r="A24" s="2" t="s">
        <v>30</v>
      </c>
      <c r="B24" s="3">
        <v>15</v>
      </c>
      <c r="C24" s="3">
        <v>28294</v>
      </c>
      <c r="D24" s="3">
        <v>396122</v>
      </c>
    </row>
    <row r="25" spans="1:4" x14ac:dyDescent="0.3">
      <c r="A25" s="2" t="s">
        <v>64</v>
      </c>
      <c r="B25" s="3">
        <v>8</v>
      </c>
      <c r="C25" s="3">
        <v>7270</v>
      </c>
      <c r="D25" s="3">
        <v>330195</v>
      </c>
    </row>
    <row r="26" spans="1:4" x14ac:dyDescent="0.3">
      <c r="A26" s="2" t="s">
        <v>28</v>
      </c>
      <c r="B26" s="3">
        <v>14</v>
      </c>
      <c r="C26" s="3">
        <v>40400</v>
      </c>
      <c r="D26" s="3">
        <v>524393</v>
      </c>
    </row>
    <row r="27" spans="1:4" x14ac:dyDescent="0.3">
      <c r="A27" s="2" t="s">
        <v>20</v>
      </c>
      <c r="B27" s="3">
        <v>15</v>
      </c>
      <c r="C27" s="3">
        <v>56936</v>
      </c>
      <c r="D27" s="3">
        <v>140633</v>
      </c>
    </row>
    <row r="28" spans="1:4" x14ac:dyDescent="0.3">
      <c r="A28" s="2" t="s">
        <v>115</v>
      </c>
      <c r="B28" s="3">
        <v>506</v>
      </c>
      <c r="C28" s="3">
        <v>874651</v>
      </c>
      <c r="D28" s="3">
        <v>11976439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K28"/>
  <sheetViews>
    <sheetView topLeftCell="D1" workbookViewId="0">
      <selection activeCell="H30" sqref="H30"/>
    </sheetView>
  </sheetViews>
  <sheetFormatPr defaultRowHeight="14.4" x14ac:dyDescent="0.3"/>
  <cols>
    <col min="1" max="1" width="10.77734375" bestFit="1" customWidth="1"/>
    <col min="2" max="2" width="16" bestFit="1" customWidth="1"/>
    <col min="3" max="4" width="18.44140625" bestFit="1" customWidth="1"/>
    <col min="5" max="5" width="12.5546875" bestFit="1" customWidth="1"/>
    <col min="6" max="6" width="16" bestFit="1" customWidth="1"/>
    <col min="7" max="7" width="9.109375" bestFit="1" customWidth="1"/>
    <col min="8" max="8" width="36.77734375" bestFit="1" customWidth="1"/>
    <col min="9" max="9" width="12.5546875" bestFit="1" customWidth="1"/>
    <col min="10" max="10" width="16" bestFit="1" customWidth="1"/>
    <col min="11" max="11" width="21.88671875" bestFit="1" customWidth="1"/>
    <col min="12" max="16" width="36.77734375" bestFit="1" customWidth="1"/>
    <col min="17" max="17" width="10.77734375" bestFit="1" customWidth="1"/>
    <col min="18" max="31" width="44.5546875" bestFit="1" customWidth="1"/>
    <col min="32" max="32" width="48" bestFit="1" customWidth="1"/>
    <col min="33" max="33" width="49.33203125" bestFit="1" customWidth="1"/>
    <col min="34" max="34" width="16.109375" bestFit="1" customWidth="1"/>
    <col min="35" max="35" width="18.88671875" bestFit="1" customWidth="1"/>
    <col min="36" max="36" width="7.33203125" bestFit="1" customWidth="1"/>
    <col min="37" max="37" width="10" bestFit="1" customWidth="1"/>
    <col min="38" max="38" width="8.33203125" bestFit="1" customWidth="1"/>
    <col min="39" max="39" width="11" bestFit="1" customWidth="1"/>
    <col min="40" max="40" width="13.6640625" bestFit="1" customWidth="1"/>
    <col min="41" max="41" width="16.44140625" bestFit="1" customWidth="1"/>
    <col min="42" max="42" width="10.6640625" bestFit="1" customWidth="1"/>
    <col min="43" max="43" width="13.44140625" bestFit="1" customWidth="1"/>
    <col min="44" max="44" width="9.6640625" bestFit="1" customWidth="1"/>
    <col min="45" max="45" width="12.33203125" bestFit="1" customWidth="1"/>
    <col min="46" max="46" width="7.21875" bestFit="1" customWidth="1"/>
    <col min="47" max="47" width="9.88671875" bestFit="1" customWidth="1"/>
    <col min="48" max="48" width="15.33203125" bestFit="1" customWidth="1"/>
    <col min="49" max="49" width="18.109375" bestFit="1" customWidth="1"/>
    <col min="50" max="50" width="10.77734375" bestFit="1" customWidth="1"/>
  </cols>
  <sheetData>
    <row r="3" spans="1:11" x14ac:dyDescent="0.3">
      <c r="A3" s="1" t="s">
        <v>4</v>
      </c>
      <c r="B3" t="s">
        <v>123</v>
      </c>
      <c r="C3" t="s">
        <v>126</v>
      </c>
      <c r="E3" s="1" t="s">
        <v>114</v>
      </c>
      <c r="F3" t="s">
        <v>123</v>
      </c>
      <c r="G3" t="s">
        <v>127</v>
      </c>
      <c r="I3" s="1" t="s">
        <v>114</v>
      </c>
      <c r="J3" t="s">
        <v>123</v>
      </c>
      <c r="K3" t="s">
        <v>128</v>
      </c>
    </row>
    <row r="4" spans="1:11" x14ac:dyDescent="0.3">
      <c r="A4" t="s">
        <v>19</v>
      </c>
      <c r="B4" s="3">
        <v>16868</v>
      </c>
      <c r="C4" s="3">
        <v>54</v>
      </c>
      <c r="E4" s="2" t="s">
        <v>19</v>
      </c>
      <c r="F4" s="3">
        <v>16868</v>
      </c>
      <c r="G4" s="3">
        <v>40</v>
      </c>
      <c r="I4" s="2" t="s">
        <v>19</v>
      </c>
      <c r="J4" s="3">
        <v>16868</v>
      </c>
      <c r="K4" s="3">
        <v>20</v>
      </c>
    </row>
    <row r="5" spans="1:11" x14ac:dyDescent="0.3">
      <c r="A5" t="s">
        <v>21</v>
      </c>
      <c r="B5" s="3">
        <v>56936</v>
      </c>
      <c r="C5" s="3">
        <v>48</v>
      </c>
      <c r="E5" s="2" t="s">
        <v>21</v>
      </c>
      <c r="F5" s="3">
        <v>56936</v>
      </c>
      <c r="G5" s="3">
        <v>32</v>
      </c>
      <c r="I5" s="2" t="s">
        <v>21</v>
      </c>
      <c r="J5" s="3">
        <v>56936</v>
      </c>
      <c r="K5" s="3">
        <v>32</v>
      </c>
    </row>
    <row r="6" spans="1:11" x14ac:dyDescent="0.3">
      <c r="A6" t="s">
        <v>23</v>
      </c>
      <c r="B6" s="3">
        <v>114001</v>
      </c>
      <c r="C6" s="3">
        <v>43</v>
      </c>
      <c r="E6" s="2" t="s">
        <v>23</v>
      </c>
      <c r="F6" s="3">
        <v>114001</v>
      </c>
      <c r="G6" s="3">
        <v>23</v>
      </c>
      <c r="I6" s="2" t="s">
        <v>23</v>
      </c>
      <c r="J6" s="3">
        <v>114001</v>
      </c>
      <c r="K6" s="3">
        <v>21</v>
      </c>
    </row>
    <row r="7" spans="1:11" x14ac:dyDescent="0.3">
      <c r="A7" t="s">
        <v>25</v>
      </c>
      <c r="B7" s="3">
        <v>57744</v>
      </c>
      <c r="C7" s="3">
        <v>23</v>
      </c>
      <c r="E7" s="2" t="s">
        <v>25</v>
      </c>
      <c r="F7" s="3">
        <v>57744</v>
      </c>
      <c r="G7" s="3">
        <v>43</v>
      </c>
      <c r="I7" s="2" t="s">
        <v>25</v>
      </c>
      <c r="J7" s="3">
        <v>57744</v>
      </c>
      <c r="K7" s="3">
        <v>21</v>
      </c>
    </row>
    <row r="8" spans="1:11" x14ac:dyDescent="0.3">
      <c r="A8" t="s">
        <v>27</v>
      </c>
      <c r="B8" s="3">
        <v>59505</v>
      </c>
      <c r="C8" s="3">
        <v>32</v>
      </c>
      <c r="E8" s="2" t="s">
        <v>27</v>
      </c>
      <c r="F8" s="3">
        <v>59505</v>
      </c>
      <c r="G8" s="3">
        <v>57</v>
      </c>
      <c r="I8" s="2" t="s">
        <v>27</v>
      </c>
      <c r="J8" s="3">
        <v>59505</v>
      </c>
      <c r="K8" s="3">
        <v>12</v>
      </c>
    </row>
    <row r="9" spans="1:11" x14ac:dyDescent="0.3">
      <c r="A9" t="s">
        <v>31</v>
      </c>
      <c r="B9" s="3">
        <v>28294</v>
      </c>
      <c r="C9" s="3">
        <v>42</v>
      </c>
      <c r="E9" s="2" t="s">
        <v>31</v>
      </c>
      <c r="F9" s="3">
        <v>28294</v>
      </c>
      <c r="G9" s="3">
        <v>43</v>
      </c>
      <c r="I9" s="2" t="s">
        <v>31</v>
      </c>
      <c r="J9" s="3">
        <v>28294</v>
      </c>
      <c r="K9" s="3">
        <v>21</v>
      </c>
    </row>
    <row r="10" spans="1:11" x14ac:dyDescent="0.3">
      <c r="A10" t="s">
        <v>29</v>
      </c>
      <c r="B10" s="3">
        <v>40400</v>
      </c>
      <c r="C10" s="3">
        <v>53</v>
      </c>
      <c r="E10" s="2" t="s">
        <v>29</v>
      </c>
      <c r="F10" s="3">
        <v>40400</v>
      </c>
      <c r="G10" s="3">
        <v>32</v>
      </c>
      <c r="I10" s="2" t="s">
        <v>29</v>
      </c>
      <c r="J10" s="3">
        <v>40400</v>
      </c>
      <c r="K10" s="3">
        <v>23</v>
      </c>
    </row>
    <row r="11" spans="1:11" x14ac:dyDescent="0.3">
      <c r="A11" t="s">
        <v>35</v>
      </c>
      <c r="B11" s="3">
        <v>45793</v>
      </c>
      <c r="C11" s="3">
        <v>54</v>
      </c>
      <c r="E11" s="2" t="s">
        <v>35</v>
      </c>
      <c r="F11" s="3">
        <v>45793</v>
      </c>
      <c r="G11" s="3">
        <v>21</v>
      </c>
      <c r="I11" s="2" t="s">
        <v>35</v>
      </c>
      <c r="J11" s="3">
        <v>45793</v>
      </c>
      <c r="K11" s="3">
        <v>21</v>
      </c>
    </row>
    <row r="12" spans="1:11" x14ac:dyDescent="0.3">
      <c r="A12" t="s">
        <v>33</v>
      </c>
      <c r="B12" s="3">
        <v>64168</v>
      </c>
      <c r="C12" s="3">
        <v>33</v>
      </c>
      <c r="E12" s="2" t="s">
        <v>33</v>
      </c>
      <c r="F12" s="3">
        <v>64168</v>
      </c>
      <c r="G12" s="3">
        <v>33</v>
      </c>
      <c r="I12" s="2" t="s">
        <v>33</v>
      </c>
      <c r="J12" s="3">
        <v>64168</v>
      </c>
      <c r="K12" s="3">
        <v>23</v>
      </c>
    </row>
    <row r="13" spans="1:11" x14ac:dyDescent="0.3">
      <c r="A13" t="s">
        <v>37</v>
      </c>
      <c r="B13" s="3">
        <v>42929</v>
      </c>
      <c r="C13" s="3">
        <v>54</v>
      </c>
      <c r="E13" s="2" t="s">
        <v>37</v>
      </c>
      <c r="F13" s="3">
        <v>42929</v>
      </c>
      <c r="G13" s="3">
        <v>23</v>
      </c>
      <c r="I13" s="2" t="s">
        <v>37</v>
      </c>
      <c r="J13" s="3">
        <v>42929</v>
      </c>
      <c r="K13" s="3">
        <v>32</v>
      </c>
    </row>
    <row r="14" spans="1:11" x14ac:dyDescent="0.3">
      <c r="A14" t="s">
        <v>39</v>
      </c>
      <c r="B14" s="3">
        <v>29211</v>
      </c>
      <c r="C14" s="3">
        <v>65</v>
      </c>
      <c r="E14" s="2" t="s">
        <v>39</v>
      </c>
      <c r="F14" s="3">
        <v>29211</v>
      </c>
      <c r="G14" s="3">
        <v>42</v>
      </c>
      <c r="I14" s="2" t="s">
        <v>39</v>
      </c>
      <c r="J14" s="3">
        <v>29211</v>
      </c>
      <c r="K14" s="3">
        <v>25</v>
      </c>
    </row>
    <row r="15" spans="1:11" x14ac:dyDescent="0.3">
      <c r="A15" t="s">
        <v>41</v>
      </c>
      <c r="B15" s="3">
        <v>32688</v>
      </c>
      <c r="C15" s="3">
        <v>45</v>
      </c>
      <c r="E15" s="2" t="s">
        <v>41</v>
      </c>
      <c r="F15" s="3">
        <v>32688</v>
      </c>
      <c r="G15" s="3">
        <v>24</v>
      </c>
      <c r="I15" s="2" t="s">
        <v>41</v>
      </c>
      <c r="J15" s="3">
        <v>32688</v>
      </c>
      <c r="K15" s="3">
        <v>26</v>
      </c>
    </row>
    <row r="16" spans="1:11" x14ac:dyDescent="0.3">
      <c r="A16" t="s">
        <v>43</v>
      </c>
      <c r="B16" s="3">
        <v>29956</v>
      </c>
      <c r="C16" s="3">
        <v>34</v>
      </c>
      <c r="E16" s="2" t="s">
        <v>43</v>
      </c>
      <c r="F16" s="3">
        <v>29956</v>
      </c>
      <c r="G16" s="3">
        <v>23</v>
      </c>
      <c r="I16" s="2" t="s">
        <v>43</v>
      </c>
      <c r="J16" s="3">
        <v>29956</v>
      </c>
      <c r="K16" s="3">
        <v>26</v>
      </c>
    </row>
    <row r="17" spans="1:11" x14ac:dyDescent="0.3">
      <c r="A17" t="s">
        <v>45</v>
      </c>
      <c r="B17" s="3">
        <v>49006</v>
      </c>
      <c r="C17" s="3">
        <v>32</v>
      </c>
      <c r="E17" s="2" t="s">
        <v>45</v>
      </c>
      <c r="F17" s="3">
        <v>49006</v>
      </c>
      <c r="G17" s="3">
        <v>23</v>
      </c>
      <c r="I17" s="2" t="s">
        <v>45</v>
      </c>
      <c r="J17" s="3">
        <v>49006</v>
      </c>
      <c r="K17" s="3">
        <v>28</v>
      </c>
    </row>
    <row r="18" spans="1:11" x14ac:dyDescent="0.3">
      <c r="A18" t="s">
        <v>47</v>
      </c>
      <c r="B18" s="3">
        <v>20765</v>
      </c>
      <c r="C18" s="3">
        <v>23</v>
      </c>
      <c r="E18" s="2" t="s">
        <v>47</v>
      </c>
      <c r="F18" s="3">
        <v>20765</v>
      </c>
      <c r="G18" s="3">
        <v>23</v>
      </c>
      <c r="I18" s="2" t="s">
        <v>47</v>
      </c>
      <c r="J18" s="3">
        <v>20765</v>
      </c>
      <c r="K18" s="3">
        <v>29</v>
      </c>
    </row>
    <row r="19" spans="1:11" x14ac:dyDescent="0.3">
      <c r="A19" t="s">
        <v>49</v>
      </c>
      <c r="B19" s="3">
        <v>21233</v>
      </c>
      <c r="C19" s="3">
        <v>65</v>
      </c>
      <c r="E19" s="2" t="s">
        <v>49</v>
      </c>
      <c r="F19" s="3">
        <v>21233</v>
      </c>
      <c r="G19" s="3">
        <v>43</v>
      </c>
      <c r="I19" s="2" t="s">
        <v>49</v>
      </c>
      <c r="J19" s="3">
        <v>21233</v>
      </c>
      <c r="K19" s="3">
        <v>24</v>
      </c>
    </row>
    <row r="20" spans="1:11" x14ac:dyDescent="0.3">
      <c r="A20" t="s">
        <v>51</v>
      </c>
      <c r="B20" s="3">
        <v>23866</v>
      </c>
      <c r="C20" s="3">
        <v>45</v>
      </c>
      <c r="E20" s="2" t="s">
        <v>51</v>
      </c>
      <c r="F20" s="3">
        <v>23866</v>
      </c>
      <c r="G20" s="3">
        <v>34</v>
      </c>
      <c r="I20" s="2" t="s">
        <v>51</v>
      </c>
      <c r="J20" s="3">
        <v>23866</v>
      </c>
      <c r="K20" s="3">
        <v>24</v>
      </c>
    </row>
    <row r="21" spans="1:11" x14ac:dyDescent="0.3">
      <c r="A21" t="s">
        <v>55</v>
      </c>
      <c r="B21" s="3">
        <v>17915</v>
      </c>
      <c r="C21" s="3">
        <v>54</v>
      </c>
      <c r="E21" s="2" t="s">
        <v>55</v>
      </c>
      <c r="F21" s="3">
        <v>17915</v>
      </c>
      <c r="G21" s="3">
        <v>53</v>
      </c>
      <c r="I21" s="2" t="s">
        <v>55</v>
      </c>
      <c r="J21" s="3">
        <v>17915</v>
      </c>
      <c r="K21" s="3">
        <v>26</v>
      </c>
    </row>
    <row r="22" spans="1:11" x14ac:dyDescent="0.3">
      <c r="A22" t="s">
        <v>53</v>
      </c>
      <c r="B22" s="3">
        <v>41651</v>
      </c>
      <c r="C22" s="3">
        <v>65</v>
      </c>
      <c r="E22" s="2" t="s">
        <v>53</v>
      </c>
      <c r="F22" s="3">
        <v>41651</v>
      </c>
      <c r="G22" s="3">
        <v>54</v>
      </c>
      <c r="I22" s="2" t="s">
        <v>53</v>
      </c>
      <c r="J22" s="3">
        <v>41651</v>
      </c>
      <c r="K22" s="3">
        <v>26</v>
      </c>
    </row>
    <row r="23" spans="1:11" x14ac:dyDescent="0.3">
      <c r="A23" t="s">
        <v>59</v>
      </c>
      <c r="B23" s="3">
        <v>33177</v>
      </c>
      <c r="C23" s="3">
        <v>77</v>
      </c>
      <c r="E23" s="2" t="s">
        <v>59</v>
      </c>
      <c r="F23" s="3">
        <v>33177</v>
      </c>
      <c r="G23" s="3">
        <v>34</v>
      </c>
      <c r="I23" s="2" t="s">
        <v>59</v>
      </c>
      <c r="J23" s="3">
        <v>33177</v>
      </c>
      <c r="K23" s="3">
        <v>27</v>
      </c>
    </row>
    <row r="24" spans="1:11" x14ac:dyDescent="0.3">
      <c r="A24" t="s">
        <v>61</v>
      </c>
      <c r="B24" s="3">
        <v>10262</v>
      </c>
      <c r="C24" s="3">
        <v>45</v>
      </c>
      <c r="E24" s="2" t="s">
        <v>61</v>
      </c>
      <c r="F24" s="3">
        <v>10262</v>
      </c>
      <c r="G24" s="3">
        <v>45</v>
      </c>
      <c r="I24" s="2" t="s">
        <v>61</v>
      </c>
      <c r="J24" s="3">
        <v>10262</v>
      </c>
      <c r="K24" s="3">
        <v>27</v>
      </c>
    </row>
    <row r="25" spans="1:11" x14ac:dyDescent="0.3">
      <c r="A25" t="s">
        <v>57</v>
      </c>
      <c r="B25" s="3">
        <v>20213</v>
      </c>
      <c r="C25" s="3">
        <v>75</v>
      </c>
      <c r="E25" s="2" t="s">
        <v>57</v>
      </c>
      <c r="F25" s="3">
        <v>20213</v>
      </c>
      <c r="G25" s="3">
        <v>34</v>
      </c>
      <c r="I25" s="2" t="s">
        <v>57</v>
      </c>
      <c r="J25" s="3">
        <v>20213</v>
      </c>
      <c r="K25" s="3">
        <v>25</v>
      </c>
    </row>
    <row r="26" spans="1:11" x14ac:dyDescent="0.3">
      <c r="A26" t="s">
        <v>63</v>
      </c>
      <c r="B26" s="3">
        <v>10800</v>
      </c>
      <c r="C26" s="3">
        <v>56</v>
      </c>
      <c r="E26" s="2" t="s">
        <v>63</v>
      </c>
      <c r="F26" s="3">
        <v>10800</v>
      </c>
      <c r="G26" s="3">
        <v>34</v>
      </c>
      <c r="I26" s="2" t="s">
        <v>63</v>
      </c>
      <c r="J26" s="3">
        <v>10800</v>
      </c>
      <c r="K26" s="3">
        <v>24</v>
      </c>
    </row>
    <row r="27" spans="1:11" x14ac:dyDescent="0.3">
      <c r="A27" t="s">
        <v>65</v>
      </c>
      <c r="B27" s="3">
        <v>7270</v>
      </c>
      <c r="C27" s="3">
        <v>67</v>
      </c>
      <c r="E27" s="2" t="s">
        <v>65</v>
      </c>
      <c r="F27" s="3">
        <v>7270</v>
      </c>
      <c r="G27" s="3">
        <v>34</v>
      </c>
      <c r="I27" s="2" t="s">
        <v>65</v>
      </c>
      <c r="J27" s="3">
        <v>7270</v>
      </c>
      <c r="K27" s="3">
        <v>24</v>
      </c>
    </row>
    <row r="28" spans="1:11" x14ac:dyDescent="0.3">
      <c r="A28" t="s">
        <v>115</v>
      </c>
      <c r="B28" s="3">
        <v>874651</v>
      </c>
      <c r="C28" s="3">
        <v>1184</v>
      </c>
      <c r="E28" s="2" t="s">
        <v>115</v>
      </c>
      <c r="F28" s="3">
        <v>874651</v>
      </c>
      <c r="G28" s="3">
        <v>847</v>
      </c>
      <c r="I28" s="2" t="s">
        <v>115</v>
      </c>
      <c r="J28" s="3">
        <v>874651</v>
      </c>
      <c r="K28" s="3">
        <v>587</v>
      </c>
    </row>
  </sheetData>
  <pageMargins left="0.7" right="0.7" top="0.75" bottom="0.75" header="0.3" footer="0.3"/>
  <pageSetup orientation="portrait" horizontalDpi="300" verticalDpi="300"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0"/>
  <sheetViews>
    <sheetView topLeftCell="E1" workbookViewId="0">
      <selection activeCell="O1" sqref="O1:O25"/>
    </sheetView>
  </sheetViews>
  <sheetFormatPr defaultRowHeight="14.4" x14ac:dyDescent="0.3"/>
  <cols>
    <col min="1" max="1" width="9.33203125" customWidth="1"/>
    <col min="4" max="4" width="14.44140625" customWidth="1"/>
    <col min="5" max="5" width="9.109375" customWidth="1"/>
    <col min="6" max="6" width="10.44140625" customWidth="1"/>
    <col min="7" max="7" width="17.5546875" customWidth="1"/>
    <col min="13" max="13" width="10.109375" customWidth="1"/>
    <col min="14" max="14" width="10.44140625" customWidth="1"/>
    <col min="16" max="16" width="34.77734375" customWidth="1"/>
    <col min="17" max="17" width="33.5546875" customWidth="1"/>
    <col min="18" max="18" width="34.88671875" customWidth="1"/>
    <col min="19" max="19" width="20.88671875" customWidth="1"/>
    <col min="20" max="20" width="11.6640625" customWidth="1"/>
    <col min="21" max="21" width="26.21875" customWidth="1"/>
    <col min="22" max="22" width="26.109375" customWidth="1"/>
    <col min="23" max="24" width="15.5546875" customWidth="1"/>
    <col min="26" max="26" width="20.33203125" customWidth="1"/>
    <col min="27" max="27" width="10.33203125" customWidth="1"/>
    <col min="28" max="28" width="17.109375" customWidth="1"/>
    <col min="29" max="29" width="23.33203125" customWidth="1"/>
    <col min="30" max="30" width="21.77734375" customWidth="1"/>
    <col min="31" max="31" width="16.6640625" customWidth="1"/>
  </cols>
  <sheetData>
    <row r="1" spans="1:31" x14ac:dyDescent="0.3">
      <c r="A1" t="s">
        <v>0</v>
      </c>
      <c r="B1" t="s">
        <v>1</v>
      </c>
      <c r="C1" t="s">
        <v>2</v>
      </c>
      <c r="D1" t="s">
        <v>3</v>
      </c>
      <c r="E1" t="s">
        <v>70</v>
      </c>
      <c r="F1" t="s">
        <v>71</v>
      </c>
      <c r="G1" t="s">
        <v>72</v>
      </c>
      <c r="H1" t="s">
        <v>73</v>
      </c>
      <c r="I1" t="s">
        <v>74</v>
      </c>
      <c r="J1" t="s">
        <v>75</v>
      </c>
      <c r="K1" t="s">
        <v>76</v>
      </c>
      <c r="L1" t="s">
        <v>117</v>
      </c>
      <c r="M1" t="s">
        <v>118</v>
      </c>
      <c r="N1" t="s">
        <v>77</v>
      </c>
      <c r="O1" t="s">
        <v>4</v>
      </c>
      <c r="P1" t="s">
        <v>67</v>
      </c>
      <c r="Q1" t="s">
        <v>68</v>
      </c>
      <c r="R1" t="s">
        <v>69</v>
      </c>
      <c r="S1" t="s">
        <v>113</v>
      </c>
      <c r="T1" t="s">
        <v>5</v>
      </c>
      <c r="U1" t="s">
        <v>116</v>
      </c>
      <c r="V1" t="s">
        <v>6</v>
      </c>
      <c r="W1" t="s">
        <v>7</v>
      </c>
      <c r="X1" t="s">
        <v>125</v>
      </c>
      <c r="Y1" t="s">
        <v>8</v>
      </c>
      <c r="Z1" t="s">
        <v>9</v>
      </c>
      <c r="AA1" t="s">
        <v>10</v>
      </c>
      <c r="AB1" t="s">
        <v>11</v>
      </c>
      <c r="AC1" t="s">
        <v>12</v>
      </c>
      <c r="AD1" t="s">
        <v>13</v>
      </c>
      <c r="AE1" t="s">
        <v>14</v>
      </c>
    </row>
    <row r="2" spans="1:31" x14ac:dyDescent="0.3">
      <c r="A2" t="s">
        <v>15</v>
      </c>
      <c r="B2" t="s">
        <v>16</v>
      </c>
      <c r="C2" t="s">
        <v>17</v>
      </c>
      <c r="D2" t="s">
        <v>18</v>
      </c>
      <c r="E2">
        <v>18.916989300000001</v>
      </c>
      <c r="F2">
        <v>72.827221100000003</v>
      </c>
      <c r="H2" t="s">
        <v>112</v>
      </c>
      <c r="I2" t="s">
        <v>97</v>
      </c>
      <c r="K2" t="s">
        <v>87</v>
      </c>
      <c r="L2" t="s">
        <v>16</v>
      </c>
      <c r="M2" t="s">
        <v>15</v>
      </c>
      <c r="N2">
        <v>400005</v>
      </c>
      <c r="O2" t="s">
        <v>19</v>
      </c>
      <c r="P2">
        <v>1</v>
      </c>
      <c r="Q2">
        <v>0</v>
      </c>
      <c r="R2">
        <v>5</v>
      </c>
      <c r="S2">
        <f>SUM(P2:R2)</f>
        <v>6</v>
      </c>
      <c r="T2">
        <v>210847</v>
      </c>
      <c r="U2">
        <f>T2/S2</f>
        <v>35141.166666666664</v>
      </c>
      <c r="V2">
        <v>16868</v>
      </c>
      <c r="W2">
        <v>0.14000000000000001</v>
      </c>
      <c r="X2">
        <f>Table3[[#This Row],[Population]]/Table3[[#This Row],[Area]]</f>
        <v>16867.759999999998</v>
      </c>
      <c r="Y2">
        <v>12.5</v>
      </c>
      <c r="Z2">
        <v>54</v>
      </c>
      <c r="AA2">
        <v>40</v>
      </c>
      <c r="AB2">
        <v>20</v>
      </c>
      <c r="AC2">
        <v>0</v>
      </c>
      <c r="AD2">
        <v>0</v>
      </c>
      <c r="AE2">
        <v>0</v>
      </c>
    </row>
    <row r="3" spans="1:31" x14ac:dyDescent="0.3">
      <c r="A3" t="s">
        <v>15</v>
      </c>
      <c r="B3" t="s">
        <v>16</v>
      </c>
      <c r="C3" t="s">
        <v>17</v>
      </c>
      <c r="D3" t="s">
        <v>20</v>
      </c>
      <c r="E3">
        <v>18.963423401021601</v>
      </c>
      <c r="F3">
        <v>72.844564606079601</v>
      </c>
      <c r="L3" t="s">
        <v>16</v>
      </c>
      <c r="M3" t="s">
        <v>15</v>
      </c>
      <c r="O3" t="s">
        <v>21</v>
      </c>
      <c r="P3">
        <v>3</v>
      </c>
      <c r="Q3">
        <v>0</v>
      </c>
      <c r="R3">
        <v>12</v>
      </c>
      <c r="S3">
        <f>SUM(P3:R3)</f>
        <v>15</v>
      </c>
      <c r="T3">
        <v>140633</v>
      </c>
      <c r="U3">
        <f>T3/S3</f>
        <v>9375.5333333333328</v>
      </c>
      <c r="V3">
        <v>56936</v>
      </c>
      <c r="W3">
        <v>0.14000000000000001</v>
      </c>
      <c r="X3">
        <f>Table3[[#This Row],[Population]]/Table3[[#This Row],[Area]]</f>
        <v>56936.437246963556</v>
      </c>
      <c r="Y3">
        <v>2.4700000000000002</v>
      </c>
      <c r="Z3">
        <v>48</v>
      </c>
      <c r="AA3">
        <v>32</v>
      </c>
      <c r="AB3">
        <v>32</v>
      </c>
      <c r="AC3">
        <v>0</v>
      </c>
      <c r="AD3">
        <v>0</v>
      </c>
      <c r="AE3">
        <v>0</v>
      </c>
    </row>
    <row r="4" spans="1:31" x14ac:dyDescent="0.3">
      <c r="A4" t="s">
        <v>15</v>
      </c>
      <c r="B4" t="s">
        <v>16</v>
      </c>
      <c r="C4" t="s">
        <v>17</v>
      </c>
      <c r="D4" t="s">
        <v>22</v>
      </c>
      <c r="E4">
        <v>18.945615700000001</v>
      </c>
      <c r="F4">
        <v>72.823816199999996</v>
      </c>
      <c r="H4" t="s">
        <v>85</v>
      </c>
      <c r="I4" t="s">
        <v>86</v>
      </c>
      <c r="K4" t="s">
        <v>87</v>
      </c>
      <c r="L4" t="s">
        <v>16</v>
      </c>
      <c r="M4" t="s">
        <v>15</v>
      </c>
      <c r="N4">
        <v>400002</v>
      </c>
      <c r="O4" t="s">
        <v>23</v>
      </c>
      <c r="P4">
        <v>3</v>
      </c>
      <c r="Q4">
        <v>0</v>
      </c>
      <c r="R4">
        <v>9</v>
      </c>
      <c r="S4">
        <f>SUM(P4:R4)</f>
        <v>12</v>
      </c>
      <c r="T4">
        <v>202922</v>
      </c>
      <c r="U4">
        <f>T4/S4</f>
        <v>16910.166666666668</v>
      </c>
      <c r="V4">
        <v>114001</v>
      </c>
      <c r="W4">
        <v>0.14000000000000001</v>
      </c>
      <c r="X4">
        <f>Table3[[#This Row],[Population]]/Table3[[#This Row],[Area]]</f>
        <v>114001.12359550562</v>
      </c>
      <c r="Y4">
        <v>1.78</v>
      </c>
      <c r="Z4">
        <v>43</v>
      </c>
      <c r="AA4">
        <v>23</v>
      </c>
      <c r="AB4">
        <v>21</v>
      </c>
      <c r="AC4">
        <v>0</v>
      </c>
      <c r="AD4">
        <v>0</v>
      </c>
      <c r="AE4">
        <v>0</v>
      </c>
    </row>
    <row r="5" spans="1:31" x14ac:dyDescent="0.3">
      <c r="A5" t="s">
        <v>15</v>
      </c>
      <c r="B5" t="s">
        <v>16</v>
      </c>
      <c r="C5" t="s">
        <v>17</v>
      </c>
      <c r="D5" t="s">
        <v>24</v>
      </c>
      <c r="E5">
        <v>18.969005605477101</v>
      </c>
      <c r="F5">
        <v>72.818725814261001</v>
      </c>
      <c r="H5" t="s">
        <v>24</v>
      </c>
      <c r="I5" t="s">
        <v>88</v>
      </c>
      <c r="K5" t="s">
        <v>89</v>
      </c>
      <c r="L5" t="s">
        <v>16</v>
      </c>
      <c r="M5" t="s">
        <v>15</v>
      </c>
      <c r="N5">
        <v>411001</v>
      </c>
      <c r="O5" t="s">
        <v>25</v>
      </c>
      <c r="P5">
        <v>3</v>
      </c>
      <c r="Q5">
        <v>3</v>
      </c>
      <c r="R5">
        <v>18</v>
      </c>
      <c r="S5">
        <f>SUM(P5:R5)</f>
        <v>24</v>
      </c>
      <c r="T5">
        <v>382841</v>
      </c>
      <c r="U5">
        <f>T5/S5</f>
        <v>15951.708333333334</v>
      </c>
      <c r="V5">
        <v>57744</v>
      </c>
      <c r="W5">
        <v>0.14000000000000001</v>
      </c>
      <c r="X5">
        <f>Table3[[#This Row],[Population]]/Table3[[#This Row],[Area]]</f>
        <v>57743.740573152339</v>
      </c>
      <c r="Y5">
        <v>6.63</v>
      </c>
      <c r="Z5">
        <v>23</v>
      </c>
      <c r="AA5">
        <v>43</v>
      </c>
      <c r="AB5">
        <v>21</v>
      </c>
      <c r="AC5">
        <v>0</v>
      </c>
      <c r="AD5">
        <v>0</v>
      </c>
      <c r="AE5">
        <v>0</v>
      </c>
    </row>
    <row r="6" spans="1:31" x14ac:dyDescent="0.3">
      <c r="A6" t="s">
        <v>15</v>
      </c>
      <c r="B6" t="s">
        <v>16</v>
      </c>
      <c r="C6" t="s">
        <v>17</v>
      </c>
      <c r="D6" t="s">
        <v>26</v>
      </c>
      <c r="E6">
        <v>18.976621900000001</v>
      </c>
      <c r="F6">
        <v>72.832793600000002</v>
      </c>
      <c r="H6" t="s">
        <v>92</v>
      </c>
      <c r="I6" t="s">
        <v>93</v>
      </c>
      <c r="K6" t="s">
        <v>87</v>
      </c>
      <c r="L6" t="s">
        <v>16</v>
      </c>
      <c r="M6" t="s">
        <v>15</v>
      </c>
      <c r="N6">
        <v>400027</v>
      </c>
      <c r="O6" t="s">
        <v>27</v>
      </c>
      <c r="P6">
        <v>2</v>
      </c>
      <c r="Q6">
        <v>3</v>
      </c>
      <c r="R6">
        <v>5</v>
      </c>
      <c r="S6">
        <f>SUM(P6:R6)</f>
        <v>10</v>
      </c>
      <c r="T6">
        <v>440335</v>
      </c>
      <c r="U6">
        <f>T6/S6</f>
        <v>44033.5</v>
      </c>
      <c r="V6">
        <v>59505</v>
      </c>
      <c r="W6">
        <v>0.14000000000000001</v>
      </c>
      <c r="X6">
        <f>Table3[[#This Row],[Population]]/Table3[[#This Row],[Area]]</f>
        <v>59504.729729729726</v>
      </c>
      <c r="Y6">
        <v>7.4</v>
      </c>
      <c r="Z6">
        <v>32</v>
      </c>
      <c r="AA6">
        <v>57</v>
      </c>
      <c r="AB6">
        <v>12</v>
      </c>
      <c r="AC6">
        <v>0</v>
      </c>
      <c r="AD6">
        <v>0</v>
      </c>
      <c r="AE6">
        <v>0</v>
      </c>
    </row>
    <row r="7" spans="1:31" x14ac:dyDescent="0.3">
      <c r="A7" t="s">
        <v>15</v>
      </c>
      <c r="B7" t="s">
        <v>16</v>
      </c>
      <c r="C7" t="s">
        <v>17</v>
      </c>
      <c r="D7" t="s">
        <v>30</v>
      </c>
      <c r="E7">
        <v>19.0274356</v>
      </c>
      <c r="F7">
        <v>72.850146699999996</v>
      </c>
      <c r="H7" t="s">
        <v>90</v>
      </c>
      <c r="I7" t="s">
        <v>91</v>
      </c>
      <c r="K7" t="s">
        <v>87</v>
      </c>
      <c r="L7" t="s">
        <v>16</v>
      </c>
      <c r="M7" t="s">
        <v>15</v>
      </c>
      <c r="N7">
        <v>400019</v>
      </c>
      <c r="O7" t="s">
        <v>31</v>
      </c>
      <c r="P7">
        <v>5</v>
      </c>
      <c r="Q7">
        <v>0</v>
      </c>
      <c r="R7">
        <v>10</v>
      </c>
      <c r="S7">
        <f>SUM(P7:R7)</f>
        <v>15</v>
      </c>
      <c r="T7">
        <v>396122</v>
      </c>
      <c r="U7">
        <f>T7/S7</f>
        <v>26408.133333333335</v>
      </c>
      <c r="V7">
        <v>28294</v>
      </c>
      <c r="W7">
        <v>0.14000000000000001</v>
      </c>
      <c r="X7">
        <f>Table3[[#This Row],[Population]]/Table3[[#This Row],[Area]]</f>
        <v>28294.428571428572</v>
      </c>
      <c r="Y7">
        <v>14</v>
      </c>
      <c r="Z7">
        <v>42</v>
      </c>
      <c r="AA7">
        <v>43</v>
      </c>
      <c r="AB7">
        <v>21</v>
      </c>
      <c r="AC7">
        <v>0</v>
      </c>
      <c r="AD7">
        <v>0</v>
      </c>
      <c r="AE7">
        <v>0</v>
      </c>
    </row>
    <row r="8" spans="1:31" x14ac:dyDescent="0.3">
      <c r="A8" t="s">
        <v>15</v>
      </c>
      <c r="B8" t="s">
        <v>16</v>
      </c>
      <c r="C8" t="s">
        <v>17</v>
      </c>
      <c r="D8" t="s">
        <v>28</v>
      </c>
      <c r="E8">
        <v>19.009481699999998</v>
      </c>
      <c r="F8">
        <v>72.837661400000002</v>
      </c>
      <c r="I8" t="s">
        <v>94</v>
      </c>
      <c r="K8" t="s">
        <v>87</v>
      </c>
      <c r="L8" t="s">
        <v>16</v>
      </c>
      <c r="M8" t="s">
        <v>15</v>
      </c>
      <c r="N8">
        <v>400028</v>
      </c>
      <c r="O8" t="s">
        <v>29</v>
      </c>
      <c r="P8">
        <v>1</v>
      </c>
      <c r="Q8">
        <v>2</v>
      </c>
      <c r="R8">
        <v>11</v>
      </c>
      <c r="S8">
        <f>SUM(P8:R8)</f>
        <v>14</v>
      </c>
      <c r="T8">
        <v>524393</v>
      </c>
      <c r="U8">
        <f>T8/S8</f>
        <v>37456.642857142855</v>
      </c>
      <c r="V8">
        <v>40400</v>
      </c>
      <c r="W8">
        <v>0.14000000000000001</v>
      </c>
      <c r="X8">
        <f>Table3[[#This Row],[Population]]/Table3[[#This Row],[Area]]</f>
        <v>40400.077041602461</v>
      </c>
      <c r="Y8">
        <v>12.98</v>
      </c>
      <c r="Z8">
        <v>53</v>
      </c>
      <c r="AA8">
        <v>32</v>
      </c>
      <c r="AB8">
        <v>23</v>
      </c>
      <c r="AC8">
        <v>0</v>
      </c>
      <c r="AD8">
        <v>0</v>
      </c>
      <c r="AE8">
        <v>0</v>
      </c>
    </row>
    <row r="9" spans="1:31" x14ac:dyDescent="0.3">
      <c r="A9" t="s">
        <v>15</v>
      </c>
      <c r="B9" t="s">
        <v>16</v>
      </c>
      <c r="C9" t="s">
        <v>17</v>
      </c>
      <c r="D9" t="s">
        <v>34</v>
      </c>
      <c r="E9">
        <v>19.005466599999998</v>
      </c>
      <c r="F9">
        <v>72.839951499999998</v>
      </c>
      <c r="H9" t="s">
        <v>95</v>
      </c>
      <c r="I9" t="s">
        <v>94</v>
      </c>
      <c r="K9" t="s">
        <v>87</v>
      </c>
      <c r="L9" t="s">
        <v>16</v>
      </c>
      <c r="M9" t="s">
        <v>15</v>
      </c>
      <c r="N9">
        <v>400012</v>
      </c>
      <c r="O9" t="s">
        <v>35</v>
      </c>
      <c r="P9">
        <v>6</v>
      </c>
      <c r="Q9">
        <v>0</v>
      </c>
      <c r="R9">
        <v>12</v>
      </c>
      <c r="S9">
        <f>SUM(P9:R9)</f>
        <v>18</v>
      </c>
      <c r="T9">
        <v>457931</v>
      </c>
      <c r="U9">
        <f>T9/S9</f>
        <v>25440.611111111109</v>
      </c>
      <c r="V9">
        <v>45793</v>
      </c>
      <c r="W9">
        <v>0.14000000000000001</v>
      </c>
      <c r="X9">
        <f>Table3[[#This Row],[Population]]/Table3[[#This Row],[Area]]</f>
        <v>45793.1</v>
      </c>
      <c r="Y9">
        <v>10</v>
      </c>
      <c r="Z9">
        <v>54</v>
      </c>
      <c r="AA9">
        <v>21</v>
      </c>
      <c r="AB9">
        <v>21</v>
      </c>
      <c r="AC9">
        <v>0</v>
      </c>
      <c r="AD9">
        <v>0</v>
      </c>
      <c r="AE9">
        <v>0</v>
      </c>
    </row>
    <row r="10" spans="1:31" x14ac:dyDescent="0.3">
      <c r="A10" t="s">
        <v>15</v>
      </c>
      <c r="B10" t="s">
        <v>16</v>
      </c>
      <c r="C10" t="s">
        <v>17</v>
      </c>
      <c r="D10" t="s">
        <v>32</v>
      </c>
      <c r="E10">
        <v>18.947938400000002</v>
      </c>
      <c r="F10">
        <v>72.840644800000007</v>
      </c>
      <c r="H10" t="s">
        <v>96</v>
      </c>
      <c r="I10" t="s">
        <v>97</v>
      </c>
      <c r="K10" t="s">
        <v>87</v>
      </c>
      <c r="L10" t="s">
        <v>16</v>
      </c>
      <c r="M10" t="s">
        <v>15</v>
      </c>
      <c r="N10">
        <v>400038</v>
      </c>
      <c r="O10" t="s">
        <v>33</v>
      </c>
      <c r="P10">
        <v>24</v>
      </c>
      <c r="Q10">
        <v>3</v>
      </c>
      <c r="R10">
        <v>28</v>
      </c>
      <c r="S10">
        <f>SUM(P10:R10)</f>
        <v>55</v>
      </c>
      <c r="T10">
        <v>582007</v>
      </c>
      <c r="U10">
        <f>T10/S10</f>
        <v>10581.945454545454</v>
      </c>
      <c r="V10">
        <v>64168</v>
      </c>
      <c r="W10">
        <v>0.14000000000000001</v>
      </c>
      <c r="X10">
        <f>Table3[[#This Row],[Population]]/Table3[[#This Row],[Area]]</f>
        <v>64168.357221609702</v>
      </c>
      <c r="Y10">
        <v>9.07</v>
      </c>
      <c r="Z10">
        <v>33</v>
      </c>
      <c r="AA10">
        <v>33</v>
      </c>
      <c r="AB10">
        <v>23</v>
      </c>
      <c r="AC10">
        <v>0</v>
      </c>
      <c r="AD10">
        <v>0</v>
      </c>
      <c r="AE10">
        <v>0</v>
      </c>
    </row>
    <row r="11" spans="1:31" x14ac:dyDescent="0.3">
      <c r="A11" t="s">
        <v>15</v>
      </c>
      <c r="B11" t="s">
        <v>16</v>
      </c>
      <c r="C11" t="s">
        <v>17</v>
      </c>
      <c r="D11" t="s">
        <v>36</v>
      </c>
      <c r="E11">
        <v>19.084002231640401</v>
      </c>
      <c r="F11">
        <v>72.859317425939693</v>
      </c>
      <c r="L11" t="s">
        <v>16</v>
      </c>
      <c r="M11" t="s">
        <v>15</v>
      </c>
      <c r="O11" t="s">
        <v>37</v>
      </c>
      <c r="P11">
        <v>11</v>
      </c>
      <c r="Q11">
        <v>1</v>
      </c>
      <c r="R11">
        <v>16</v>
      </c>
      <c r="S11">
        <f>SUM(P11:R11)</f>
        <v>28</v>
      </c>
      <c r="T11">
        <v>580835</v>
      </c>
      <c r="U11">
        <f>T11/S11</f>
        <v>20744.107142857141</v>
      </c>
      <c r="V11">
        <v>42929</v>
      </c>
      <c r="W11">
        <v>0.14000000000000001</v>
      </c>
      <c r="X11">
        <f>Table3[[#This Row],[Population]]/Table3[[#This Row],[Area]]</f>
        <v>42929.416112342944</v>
      </c>
      <c r="Y11">
        <v>13.53</v>
      </c>
      <c r="Z11">
        <v>54</v>
      </c>
      <c r="AA11">
        <v>23</v>
      </c>
      <c r="AB11">
        <v>32</v>
      </c>
      <c r="AC11">
        <v>0</v>
      </c>
      <c r="AD11">
        <v>0</v>
      </c>
      <c r="AE11">
        <v>0</v>
      </c>
    </row>
    <row r="12" spans="1:31" x14ac:dyDescent="0.3">
      <c r="A12" t="s">
        <v>15</v>
      </c>
      <c r="B12" t="s">
        <v>16</v>
      </c>
      <c r="C12" t="s">
        <v>17</v>
      </c>
      <c r="D12" t="s">
        <v>38</v>
      </c>
      <c r="E12">
        <v>19.054979199999998</v>
      </c>
      <c r="F12">
        <v>72.840220299999999</v>
      </c>
      <c r="H12" t="s">
        <v>98</v>
      </c>
      <c r="I12" t="s">
        <v>99</v>
      </c>
      <c r="K12" t="s">
        <v>80</v>
      </c>
      <c r="L12" t="s">
        <v>16</v>
      </c>
      <c r="M12" t="s">
        <v>15</v>
      </c>
      <c r="N12">
        <v>40051</v>
      </c>
      <c r="O12" t="s">
        <v>39</v>
      </c>
      <c r="P12">
        <v>14</v>
      </c>
      <c r="Q12">
        <v>2</v>
      </c>
      <c r="R12">
        <v>0</v>
      </c>
      <c r="S12">
        <f>SUM(P12:R12)</f>
        <v>16</v>
      </c>
      <c r="T12">
        <v>337391</v>
      </c>
      <c r="U12">
        <f>T12/S12</f>
        <v>21086.9375</v>
      </c>
      <c r="V12">
        <v>29211</v>
      </c>
      <c r="W12">
        <v>0.14000000000000001</v>
      </c>
      <c r="X12">
        <f>Table3[[#This Row],[Population]]/Table3[[#This Row],[Area]]</f>
        <v>29211.341991341989</v>
      </c>
      <c r="Y12">
        <v>11.55</v>
      </c>
      <c r="Z12">
        <v>65</v>
      </c>
      <c r="AA12">
        <v>42</v>
      </c>
      <c r="AB12">
        <v>25</v>
      </c>
      <c r="AC12">
        <v>0</v>
      </c>
      <c r="AD12">
        <v>0</v>
      </c>
      <c r="AE12">
        <v>0</v>
      </c>
    </row>
    <row r="13" spans="1:31" x14ac:dyDescent="0.3">
      <c r="A13" t="s">
        <v>15</v>
      </c>
      <c r="B13" t="s">
        <v>16</v>
      </c>
      <c r="C13" t="s">
        <v>17</v>
      </c>
      <c r="D13" t="s">
        <v>40</v>
      </c>
      <c r="E13">
        <v>19.119060449999999</v>
      </c>
      <c r="F13">
        <v>72.848191663200595</v>
      </c>
      <c r="H13" t="s">
        <v>100</v>
      </c>
      <c r="I13" t="s">
        <v>101</v>
      </c>
      <c r="K13" t="s">
        <v>80</v>
      </c>
      <c r="L13" t="s">
        <v>16</v>
      </c>
      <c r="M13" t="s">
        <v>15</v>
      </c>
      <c r="N13">
        <v>400069</v>
      </c>
      <c r="O13" t="s">
        <v>41</v>
      </c>
      <c r="P13">
        <v>10</v>
      </c>
      <c r="Q13">
        <v>3</v>
      </c>
      <c r="R13">
        <v>21</v>
      </c>
      <c r="S13">
        <f>SUM(P13:R13)</f>
        <v>34</v>
      </c>
      <c r="T13">
        <v>810002</v>
      </c>
      <c r="U13">
        <f>T13/S13</f>
        <v>23823.588235294119</v>
      </c>
      <c r="V13">
        <v>32688</v>
      </c>
      <c r="W13">
        <v>0.14000000000000001</v>
      </c>
      <c r="X13">
        <f>Table3[[#This Row],[Population]]/Table3[[#This Row],[Area]]</f>
        <v>32687.732041969328</v>
      </c>
      <c r="Y13">
        <v>24.78</v>
      </c>
      <c r="Z13">
        <v>45</v>
      </c>
      <c r="AA13">
        <v>24</v>
      </c>
      <c r="AB13">
        <v>26</v>
      </c>
      <c r="AC13">
        <v>0</v>
      </c>
      <c r="AD13">
        <v>0</v>
      </c>
      <c r="AE13">
        <v>0</v>
      </c>
    </row>
    <row r="14" spans="1:31" x14ac:dyDescent="0.3">
      <c r="A14" t="s">
        <v>15</v>
      </c>
      <c r="B14" t="s">
        <v>16</v>
      </c>
      <c r="C14" t="s">
        <v>17</v>
      </c>
      <c r="D14" t="s">
        <v>42</v>
      </c>
      <c r="E14">
        <v>19.119311750000001</v>
      </c>
      <c r="F14">
        <v>72.8458690809139</v>
      </c>
      <c r="H14" t="s">
        <v>102</v>
      </c>
      <c r="I14" t="s">
        <v>103</v>
      </c>
      <c r="K14" t="s">
        <v>80</v>
      </c>
      <c r="L14" t="s">
        <v>16</v>
      </c>
      <c r="M14" t="s">
        <v>15</v>
      </c>
      <c r="N14">
        <v>400069</v>
      </c>
      <c r="O14" t="s">
        <v>43</v>
      </c>
      <c r="P14">
        <v>9</v>
      </c>
      <c r="Q14">
        <v>5</v>
      </c>
      <c r="R14">
        <v>32</v>
      </c>
      <c r="S14">
        <f>SUM(P14:R14)</f>
        <v>46</v>
      </c>
      <c r="T14">
        <v>700680</v>
      </c>
      <c r="U14">
        <f>T14/S14</f>
        <v>15232.173913043478</v>
      </c>
      <c r="V14">
        <v>29956</v>
      </c>
      <c r="W14">
        <v>0.14000000000000001</v>
      </c>
      <c r="X14">
        <f>Table3[[#This Row],[Population]]/Table3[[#This Row],[Area]]</f>
        <v>29956.391620350576</v>
      </c>
      <c r="Y14">
        <v>23.39</v>
      </c>
      <c r="Z14">
        <v>34</v>
      </c>
      <c r="AA14">
        <v>23</v>
      </c>
      <c r="AB14">
        <v>26</v>
      </c>
      <c r="AC14">
        <v>0</v>
      </c>
      <c r="AD14">
        <v>0</v>
      </c>
      <c r="AE14">
        <v>0</v>
      </c>
    </row>
    <row r="15" spans="1:31" x14ac:dyDescent="0.3">
      <c r="A15" t="s">
        <v>15</v>
      </c>
      <c r="B15" t="s">
        <v>16</v>
      </c>
      <c r="C15" t="s">
        <v>17</v>
      </c>
      <c r="D15" t="s">
        <v>44</v>
      </c>
      <c r="E15">
        <v>19.062995399999998</v>
      </c>
      <c r="F15">
        <v>72.884713599999998</v>
      </c>
      <c r="H15" t="s">
        <v>104</v>
      </c>
      <c r="I15" t="s">
        <v>105</v>
      </c>
      <c r="K15" t="s">
        <v>80</v>
      </c>
      <c r="L15" t="s">
        <v>16</v>
      </c>
      <c r="M15" t="s">
        <v>15</v>
      </c>
      <c r="N15">
        <v>400024</v>
      </c>
      <c r="O15" t="s">
        <v>45</v>
      </c>
      <c r="P15">
        <v>15</v>
      </c>
      <c r="Q15">
        <v>6</v>
      </c>
      <c r="R15">
        <v>19</v>
      </c>
      <c r="S15">
        <f>SUM(P15:R15)</f>
        <v>40</v>
      </c>
      <c r="T15">
        <v>778218</v>
      </c>
      <c r="U15">
        <f>T15/S15</f>
        <v>19455.45</v>
      </c>
      <c r="V15">
        <v>49006</v>
      </c>
      <c r="W15">
        <v>0.14000000000000001</v>
      </c>
      <c r="X15">
        <f>Table3[[#This Row],[Population]]/Table3[[#This Row],[Area]]</f>
        <v>49006.171284634758</v>
      </c>
      <c r="Y15">
        <v>15.88</v>
      </c>
      <c r="Z15">
        <v>32</v>
      </c>
      <c r="AA15">
        <v>23</v>
      </c>
      <c r="AB15">
        <v>28</v>
      </c>
      <c r="AC15">
        <v>0</v>
      </c>
      <c r="AD15">
        <v>0</v>
      </c>
      <c r="AE15">
        <v>0</v>
      </c>
    </row>
    <row r="16" spans="1:31" x14ac:dyDescent="0.3">
      <c r="A16" t="s">
        <v>15</v>
      </c>
      <c r="B16" t="s">
        <v>16</v>
      </c>
      <c r="C16" t="s">
        <v>17</v>
      </c>
      <c r="D16" t="s">
        <v>46</v>
      </c>
      <c r="E16">
        <v>19.075323399999998</v>
      </c>
      <c r="F16">
        <v>72.872755799999993</v>
      </c>
      <c r="H16" t="s">
        <v>106</v>
      </c>
      <c r="I16" t="s">
        <v>105</v>
      </c>
      <c r="K16" t="s">
        <v>80</v>
      </c>
      <c r="L16" t="s">
        <v>16</v>
      </c>
      <c r="M16" t="s">
        <v>15</v>
      </c>
      <c r="N16">
        <v>400070</v>
      </c>
      <c r="O16" t="s">
        <v>47</v>
      </c>
      <c r="P16">
        <v>3</v>
      </c>
      <c r="Q16">
        <v>0</v>
      </c>
      <c r="R16">
        <v>1</v>
      </c>
      <c r="S16">
        <f>SUM(P16:R16)</f>
        <v>4</v>
      </c>
      <c r="T16">
        <v>674850</v>
      </c>
      <c r="U16">
        <f>T16/S16</f>
        <v>168712.5</v>
      </c>
      <c r="V16">
        <v>20765</v>
      </c>
      <c r="W16">
        <v>0.14000000000000001</v>
      </c>
      <c r="X16">
        <f>Table3[[#This Row],[Population]]/Table3[[#This Row],[Area]]</f>
        <v>20764.615384615383</v>
      </c>
      <c r="Y16">
        <v>32.5</v>
      </c>
      <c r="Z16">
        <v>23</v>
      </c>
      <c r="AA16">
        <v>23</v>
      </c>
      <c r="AB16">
        <v>29</v>
      </c>
      <c r="AC16">
        <v>0</v>
      </c>
      <c r="AD16">
        <v>0</v>
      </c>
      <c r="AE16">
        <v>0</v>
      </c>
    </row>
    <row r="17" spans="1:31" x14ac:dyDescent="0.3">
      <c r="A17" t="s">
        <v>15</v>
      </c>
      <c r="B17" t="s">
        <v>16</v>
      </c>
      <c r="C17" t="s">
        <v>17</v>
      </c>
      <c r="D17" t="s">
        <v>48</v>
      </c>
      <c r="E17">
        <v>19.075323399999998</v>
      </c>
      <c r="F17">
        <v>72.872755799999993</v>
      </c>
      <c r="H17" t="s">
        <v>106</v>
      </c>
      <c r="I17" t="s">
        <v>105</v>
      </c>
      <c r="K17" t="s">
        <v>80</v>
      </c>
      <c r="L17" t="s">
        <v>16</v>
      </c>
      <c r="M17" t="s">
        <v>15</v>
      </c>
      <c r="N17">
        <v>400070</v>
      </c>
      <c r="O17" t="s">
        <v>49</v>
      </c>
      <c r="P17">
        <v>5</v>
      </c>
      <c r="Q17">
        <v>0</v>
      </c>
      <c r="R17">
        <v>3</v>
      </c>
      <c r="S17">
        <f>SUM(P17:R17)</f>
        <v>8</v>
      </c>
      <c r="T17">
        <v>414040</v>
      </c>
      <c r="U17">
        <f>T17/S17</f>
        <v>51755</v>
      </c>
      <c r="V17">
        <v>21233</v>
      </c>
      <c r="W17">
        <v>0.14000000000000001</v>
      </c>
      <c r="X17">
        <f>Table3[[#This Row],[Population]]/Table3[[#This Row],[Area]]</f>
        <v>21232.820512820512</v>
      </c>
      <c r="Y17">
        <v>19.5</v>
      </c>
      <c r="Z17">
        <v>65</v>
      </c>
      <c r="AA17">
        <v>43</v>
      </c>
      <c r="AB17">
        <v>24</v>
      </c>
      <c r="AC17">
        <v>0</v>
      </c>
      <c r="AD17">
        <v>0</v>
      </c>
      <c r="AE17">
        <v>0</v>
      </c>
    </row>
    <row r="18" spans="1:31" x14ac:dyDescent="0.3">
      <c r="A18" t="s">
        <v>15</v>
      </c>
      <c r="B18" t="s">
        <v>16</v>
      </c>
      <c r="C18" t="s">
        <v>17</v>
      </c>
      <c r="D18" t="s">
        <v>50</v>
      </c>
      <c r="E18">
        <v>19.0859539</v>
      </c>
      <c r="F18">
        <v>72.908238100000005</v>
      </c>
      <c r="H18" t="s">
        <v>107</v>
      </c>
      <c r="I18" t="s">
        <v>108</v>
      </c>
      <c r="K18" t="s">
        <v>80</v>
      </c>
      <c r="L18" t="s">
        <v>16</v>
      </c>
      <c r="M18" t="s">
        <v>15</v>
      </c>
      <c r="N18">
        <v>400086</v>
      </c>
      <c r="O18" t="s">
        <v>51</v>
      </c>
      <c r="P18">
        <v>16</v>
      </c>
      <c r="Q18">
        <v>2</v>
      </c>
      <c r="R18">
        <v>2</v>
      </c>
      <c r="S18">
        <f>SUM(P18:R18)</f>
        <v>20</v>
      </c>
      <c r="T18">
        <v>619556</v>
      </c>
      <c r="U18">
        <f>T18/S18</f>
        <v>30977.8</v>
      </c>
      <c r="V18">
        <v>23866</v>
      </c>
      <c r="W18">
        <v>0.14000000000000001</v>
      </c>
      <c r="X18">
        <f>Table3[[#This Row],[Population]]/Table3[[#This Row],[Area]]</f>
        <v>23865.793528505394</v>
      </c>
      <c r="Y18">
        <v>25.96</v>
      </c>
      <c r="Z18">
        <v>45</v>
      </c>
      <c r="AA18">
        <v>34</v>
      </c>
      <c r="AB18">
        <v>24</v>
      </c>
      <c r="AC18">
        <v>0</v>
      </c>
      <c r="AD18">
        <v>0</v>
      </c>
      <c r="AE18">
        <v>0</v>
      </c>
    </row>
    <row r="19" spans="1:31" x14ac:dyDescent="0.3">
      <c r="A19" t="s">
        <v>15</v>
      </c>
      <c r="B19" t="s">
        <v>16</v>
      </c>
      <c r="C19" t="s">
        <v>17</v>
      </c>
      <c r="D19" t="s">
        <v>54</v>
      </c>
      <c r="E19">
        <v>19.184677099999998</v>
      </c>
      <c r="F19">
        <v>72.8358068</v>
      </c>
      <c r="H19" t="s">
        <v>109</v>
      </c>
      <c r="I19" t="s">
        <v>110</v>
      </c>
      <c r="K19" t="s">
        <v>80</v>
      </c>
      <c r="L19" t="s">
        <v>16</v>
      </c>
      <c r="M19" t="s">
        <v>15</v>
      </c>
      <c r="N19">
        <v>400064</v>
      </c>
      <c r="O19" t="s">
        <v>55</v>
      </c>
      <c r="P19">
        <v>22</v>
      </c>
      <c r="Q19">
        <v>4</v>
      </c>
      <c r="R19">
        <v>23</v>
      </c>
      <c r="S19">
        <f>SUM(P19:R19)</f>
        <v>49</v>
      </c>
      <c r="T19">
        <v>437849</v>
      </c>
      <c r="U19">
        <f>T19/S19</f>
        <v>8935.6938775510207</v>
      </c>
      <c r="V19">
        <v>17915</v>
      </c>
      <c r="W19">
        <v>0.14000000000000001</v>
      </c>
      <c r="X19">
        <f>Table3[[#This Row],[Population]]/Table3[[#This Row],[Area]]</f>
        <v>17915.261865793778</v>
      </c>
      <c r="Y19">
        <v>24.44</v>
      </c>
      <c r="Z19">
        <v>54</v>
      </c>
      <c r="AA19">
        <v>53</v>
      </c>
      <c r="AB19">
        <v>26</v>
      </c>
      <c r="AC19">
        <v>0</v>
      </c>
      <c r="AD19">
        <v>0</v>
      </c>
      <c r="AE19">
        <v>0</v>
      </c>
    </row>
    <row r="20" spans="1:31" x14ac:dyDescent="0.3">
      <c r="A20" t="s">
        <v>15</v>
      </c>
      <c r="B20" t="s">
        <v>16</v>
      </c>
      <c r="C20" t="s">
        <v>17</v>
      </c>
      <c r="D20" t="s">
        <v>52</v>
      </c>
      <c r="E20">
        <v>19.1647526</v>
      </c>
      <c r="F20">
        <v>72.850017600000001</v>
      </c>
      <c r="H20" t="s">
        <v>107</v>
      </c>
      <c r="I20" t="s">
        <v>111</v>
      </c>
      <c r="K20" t="s">
        <v>80</v>
      </c>
      <c r="L20" t="s">
        <v>16</v>
      </c>
      <c r="M20" t="s">
        <v>15</v>
      </c>
      <c r="N20">
        <v>400062</v>
      </c>
      <c r="O20" t="s">
        <v>53</v>
      </c>
      <c r="P20">
        <v>2</v>
      </c>
      <c r="Q20">
        <v>0</v>
      </c>
      <c r="R20">
        <v>13</v>
      </c>
      <c r="S20">
        <f>SUM(P20:R20)</f>
        <v>15</v>
      </c>
      <c r="T20">
        <v>796775</v>
      </c>
      <c r="U20">
        <f>T20/S20</f>
        <v>53118.333333333336</v>
      </c>
      <c r="V20">
        <v>41651</v>
      </c>
      <c r="W20">
        <v>0.14000000000000001</v>
      </c>
      <c r="X20">
        <f>Table3[[#This Row],[Population]]/Table3[[#This Row],[Area]]</f>
        <v>41650.548876110821</v>
      </c>
      <c r="Y20">
        <v>19.13</v>
      </c>
      <c r="Z20">
        <v>65</v>
      </c>
      <c r="AA20">
        <v>54</v>
      </c>
      <c r="AB20">
        <v>26</v>
      </c>
      <c r="AC20">
        <v>0</v>
      </c>
      <c r="AD20">
        <v>0</v>
      </c>
      <c r="AE20">
        <v>0</v>
      </c>
    </row>
    <row r="21" spans="1:31" x14ac:dyDescent="0.3">
      <c r="A21" t="s">
        <v>15</v>
      </c>
      <c r="B21" t="s">
        <v>16</v>
      </c>
      <c r="C21" t="s">
        <v>17</v>
      </c>
      <c r="D21" t="s">
        <v>58</v>
      </c>
      <c r="E21">
        <v>19.228551599999999</v>
      </c>
      <c r="F21">
        <v>72.8521468</v>
      </c>
      <c r="H21" t="s">
        <v>81</v>
      </c>
      <c r="I21" t="s">
        <v>82</v>
      </c>
      <c r="K21" t="s">
        <v>80</v>
      </c>
      <c r="L21" t="s">
        <v>16</v>
      </c>
      <c r="M21" t="s">
        <v>15</v>
      </c>
      <c r="N21" t="s">
        <v>83</v>
      </c>
      <c r="O21" t="s">
        <v>59</v>
      </c>
      <c r="P21">
        <v>0</v>
      </c>
      <c r="Q21">
        <v>0</v>
      </c>
      <c r="R21">
        <v>6</v>
      </c>
      <c r="S21">
        <f>SUM(P21:R21)</f>
        <v>6</v>
      </c>
      <c r="T21">
        <v>589886</v>
      </c>
      <c r="U21">
        <f>T21/S21</f>
        <v>98314.333333333328</v>
      </c>
      <c r="V21">
        <v>33177</v>
      </c>
      <c r="W21">
        <v>0.14000000000000001</v>
      </c>
      <c r="X21">
        <f>Table3[[#This Row],[Population]]/Table3[[#This Row],[Area]]</f>
        <v>33176.940382452194</v>
      </c>
      <c r="Y21">
        <v>17.78</v>
      </c>
      <c r="Z21">
        <v>77</v>
      </c>
      <c r="AA21">
        <v>34</v>
      </c>
      <c r="AB21">
        <v>27</v>
      </c>
      <c r="AC21">
        <v>0</v>
      </c>
      <c r="AD21">
        <v>0</v>
      </c>
      <c r="AE21">
        <v>0</v>
      </c>
    </row>
    <row r="22" spans="1:31" x14ac:dyDescent="0.3">
      <c r="A22" t="s">
        <v>15</v>
      </c>
      <c r="B22" t="s">
        <v>16</v>
      </c>
      <c r="C22" t="s">
        <v>17</v>
      </c>
      <c r="D22" t="s">
        <v>60</v>
      </c>
      <c r="E22">
        <v>19.269947047139802</v>
      </c>
      <c r="F22">
        <v>72.854929882120899</v>
      </c>
      <c r="L22" t="s">
        <v>16</v>
      </c>
      <c r="M22" t="s">
        <v>15</v>
      </c>
      <c r="O22" t="s">
        <v>61</v>
      </c>
      <c r="P22">
        <v>6</v>
      </c>
      <c r="Q22">
        <v>0</v>
      </c>
      <c r="R22">
        <v>3</v>
      </c>
      <c r="S22">
        <f>SUM(P22:R22)</f>
        <v>9</v>
      </c>
      <c r="T22">
        <v>513077</v>
      </c>
      <c r="U22">
        <f>T22/S22</f>
        <v>57008.555555555555</v>
      </c>
      <c r="V22">
        <v>10262</v>
      </c>
      <c r="W22">
        <v>0.14000000000000001</v>
      </c>
      <c r="X22">
        <f>Table3[[#This Row],[Population]]/Table3[[#This Row],[Area]]</f>
        <v>10261.540000000001</v>
      </c>
      <c r="Y22">
        <v>50</v>
      </c>
      <c r="Z22">
        <v>45</v>
      </c>
      <c r="AA22">
        <v>45</v>
      </c>
      <c r="AB22">
        <v>27</v>
      </c>
      <c r="AC22">
        <v>0</v>
      </c>
      <c r="AD22">
        <v>0</v>
      </c>
      <c r="AE22">
        <v>0</v>
      </c>
    </row>
    <row r="23" spans="1:31" x14ac:dyDescent="0.3">
      <c r="A23" t="s">
        <v>15</v>
      </c>
      <c r="B23" t="s">
        <v>16</v>
      </c>
      <c r="C23" t="s">
        <v>17</v>
      </c>
      <c r="D23" t="s">
        <v>56</v>
      </c>
      <c r="E23">
        <v>19.214285991156</v>
      </c>
      <c r="F23">
        <v>72.886561501352801</v>
      </c>
      <c r="L23" t="s">
        <v>16</v>
      </c>
      <c r="M23" t="s">
        <v>15</v>
      </c>
      <c r="O23" t="s">
        <v>57</v>
      </c>
      <c r="P23">
        <v>5</v>
      </c>
      <c r="Q23">
        <v>1</v>
      </c>
      <c r="R23">
        <v>17</v>
      </c>
      <c r="S23">
        <f>SUM(P23:R23)</f>
        <v>23</v>
      </c>
      <c r="T23">
        <v>363827</v>
      </c>
      <c r="U23">
        <f>T23/S23</f>
        <v>15818.565217391304</v>
      </c>
      <c r="V23">
        <v>20213</v>
      </c>
      <c r="W23">
        <v>0.14000000000000001</v>
      </c>
      <c r="X23">
        <f>Table3[[#This Row],[Population]]/Table3[[#This Row],[Area]]</f>
        <v>20212.611111111109</v>
      </c>
      <c r="Y23">
        <v>18</v>
      </c>
      <c r="Z23">
        <v>75</v>
      </c>
      <c r="AA23">
        <v>34</v>
      </c>
      <c r="AB23">
        <v>25</v>
      </c>
      <c r="AC23">
        <v>0</v>
      </c>
      <c r="AD23">
        <v>0</v>
      </c>
      <c r="AE23">
        <v>0</v>
      </c>
    </row>
    <row r="24" spans="1:31" x14ac:dyDescent="0.3">
      <c r="A24" t="s">
        <v>15</v>
      </c>
      <c r="B24" t="s">
        <v>16</v>
      </c>
      <c r="C24" t="s">
        <v>17</v>
      </c>
      <c r="D24" t="s">
        <v>62</v>
      </c>
      <c r="E24">
        <v>19.143868399999999</v>
      </c>
      <c r="F24">
        <v>72.938432700000007</v>
      </c>
      <c r="I24" t="s">
        <v>84</v>
      </c>
      <c r="K24" t="s">
        <v>80</v>
      </c>
      <c r="L24" t="s">
        <v>16</v>
      </c>
      <c r="M24" t="s">
        <v>15</v>
      </c>
      <c r="N24">
        <v>400042</v>
      </c>
      <c r="O24" t="s">
        <v>63</v>
      </c>
      <c r="P24">
        <v>18</v>
      </c>
      <c r="Q24">
        <v>5</v>
      </c>
      <c r="R24">
        <v>8</v>
      </c>
      <c r="S24">
        <f>SUM(P24:R24)</f>
        <v>31</v>
      </c>
      <c r="T24">
        <v>691227</v>
      </c>
      <c r="U24">
        <f>T24/S24</f>
        <v>22297.645161290322</v>
      </c>
      <c r="V24">
        <v>10800</v>
      </c>
      <c r="W24">
        <v>0.14000000000000001</v>
      </c>
      <c r="X24">
        <f>Table3[[#This Row],[Population]]/Table3[[#This Row],[Area]]</f>
        <v>10800.421875</v>
      </c>
      <c r="Y24">
        <v>64</v>
      </c>
      <c r="Z24">
        <v>56</v>
      </c>
      <c r="AA24">
        <v>34</v>
      </c>
      <c r="AB24">
        <v>24</v>
      </c>
      <c r="AC24">
        <v>0</v>
      </c>
      <c r="AD24">
        <v>0</v>
      </c>
      <c r="AE24">
        <v>0</v>
      </c>
    </row>
    <row r="25" spans="1:31" x14ac:dyDescent="0.3">
      <c r="A25" t="s">
        <v>15</v>
      </c>
      <c r="B25" t="s">
        <v>16</v>
      </c>
      <c r="C25" t="s">
        <v>17</v>
      </c>
      <c r="D25" t="s">
        <v>64</v>
      </c>
      <c r="E25">
        <v>19.172290400000001</v>
      </c>
      <c r="F25">
        <v>72.956469499999997</v>
      </c>
      <c r="H25" t="s">
        <v>78</v>
      </c>
      <c r="I25" t="s">
        <v>79</v>
      </c>
      <c r="K25" t="s">
        <v>80</v>
      </c>
      <c r="L25" t="s">
        <v>16</v>
      </c>
      <c r="M25" t="s">
        <v>15</v>
      </c>
      <c r="N25">
        <v>400081</v>
      </c>
      <c r="O25" t="s">
        <v>65</v>
      </c>
      <c r="P25">
        <v>3</v>
      </c>
      <c r="Q25">
        <v>1</v>
      </c>
      <c r="R25">
        <v>4</v>
      </c>
      <c r="S25">
        <f>SUM(P25:R25)</f>
        <v>8</v>
      </c>
      <c r="T25">
        <v>330195</v>
      </c>
      <c r="U25">
        <f>T25/S25</f>
        <v>41274.375</v>
      </c>
      <c r="V25">
        <v>7270</v>
      </c>
      <c r="W25">
        <v>0.14000000000000001</v>
      </c>
      <c r="X25">
        <f>Table3[[#This Row],[Population]]/Table3[[#This Row],[Area]]</f>
        <v>7269.8150594451781</v>
      </c>
      <c r="Y25">
        <v>45.42</v>
      </c>
      <c r="Z25">
        <v>67</v>
      </c>
      <c r="AA25">
        <v>34</v>
      </c>
      <c r="AB25">
        <v>24</v>
      </c>
      <c r="AC25">
        <v>0</v>
      </c>
      <c r="AD25">
        <v>0</v>
      </c>
      <c r="AE25">
        <v>0</v>
      </c>
    </row>
    <row r="26" spans="1:31" x14ac:dyDescent="0.3">
      <c r="O26" t="s">
        <v>66</v>
      </c>
      <c r="P26">
        <f>SUM(P2:P25)</f>
        <v>187</v>
      </c>
      <c r="Q26">
        <f>SUM(Q2:Q25)</f>
        <v>41</v>
      </c>
      <c r="R26">
        <f>SUM(R2:R25)</f>
        <v>278</v>
      </c>
      <c r="S26">
        <f t="shared" ref="S3:S26" si="0">SUM(P26:R26)</f>
        <v>506</v>
      </c>
      <c r="T26">
        <f>SUM(T2:T25)</f>
        <v>11976439</v>
      </c>
      <c r="U26">
        <f t="shared" ref="U3:U26" si="1">T26/S26</f>
        <v>23668.851778656128</v>
      </c>
      <c r="V26">
        <f>SUM(V2:V25)</f>
        <v>874651</v>
      </c>
      <c r="W26">
        <f>SUM(W2:W25)</f>
        <v>3.3600000000000021</v>
      </c>
      <c r="Y26">
        <f>SUM(Y2:Y25)</f>
        <v>482.69</v>
      </c>
      <c r="Z26">
        <f>SUM(Z2:Z25)</f>
        <v>1184</v>
      </c>
      <c r="AA26">
        <f>SUM(AA2:AA25)</f>
        <v>847</v>
      </c>
      <c r="AB26">
        <f>SUM(AB2:AB25)</f>
        <v>587</v>
      </c>
      <c r="AC26">
        <f>SUM(AC2:AC25)</f>
        <v>0</v>
      </c>
      <c r="AD26">
        <f>SUM(AD2:AD25)</f>
        <v>0</v>
      </c>
      <c r="AE26">
        <f>SUM(AE2:AE25)</f>
        <v>0</v>
      </c>
    </row>
    <row r="27" spans="1:31" x14ac:dyDescent="0.3">
      <c r="P27">
        <f>AVERAGE(Table3[Number of Cases- Very Congested Area])</f>
        <v>7.791666666666667</v>
      </c>
      <c r="Q27">
        <f>AVERAGE(Table3[Number of Cases- Medium Congested])</f>
        <v>1.7083333333333333</v>
      </c>
      <c r="R27">
        <f>AVERAGE(Table3[Number of Cases- Standalone Structure])</f>
        <v>11.583333333333334</v>
      </c>
    </row>
    <row r="29" spans="1:31" x14ac:dyDescent="0.3">
      <c r="P29" s="4" t="s">
        <v>119</v>
      </c>
      <c r="Q29" s="4" t="s">
        <v>120</v>
      </c>
      <c r="R29" s="4" t="s">
        <v>121</v>
      </c>
    </row>
    <row r="30" spans="1:31" x14ac:dyDescent="0.3">
      <c r="P30" s="5">
        <f>AVERAGE(Table3[Number of Cases- Very Congested Area])</f>
        <v>7.791666666666667</v>
      </c>
      <c r="Q30" s="5">
        <f>AVERAGE(Table3[Number of Cases- Medium Congested])</f>
        <v>1.7083333333333333</v>
      </c>
      <c r="R30" s="5">
        <f>AVERAGE(Table3[Number of Cases- Standalone Structure])</f>
        <v>11.583333333333334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D29"/>
  <sheetViews>
    <sheetView showGridLines="0" tabSelected="1" zoomScaleNormal="100" workbookViewId="0">
      <selection activeCell="Q2" sqref="Q2"/>
    </sheetView>
  </sheetViews>
  <sheetFormatPr defaultRowHeight="14.4" x14ac:dyDescent="0.3"/>
  <cols>
    <col min="1" max="1" width="13.44140625" bestFit="1" customWidth="1"/>
    <col min="2" max="3" width="8.88671875" hidden="1" customWidth="1"/>
  </cols>
  <sheetData>
    <row r="5" spans="1:4" x14ac:dyDescent="0.3">
      <c r="A5" s="7" t="s">
        <v>3</v>
      </c>
      <c r="B5" s="7" t="s">
        <v>70</v>
      </c>
      <c r="C5" s="7" t="s">
        <v>71</v>
      </c>
      <c r="D5" s="7" t="s">
        <v>4</v>
      </c>
    </row>
    <row r="6" spans="1:4" x14ac:dyDescent="0.3">
      <c r="A6" s="6" t="s">
        <v>18</v>
      </c>
      <c r="B6" s="6">
        <v>18.916989300000001</v>
      </c>
      <c r="C6" s="6">
        <v>72.827221100000003</v>
      </c>
      <c r="D6" s="6" t="s">
        <v>19</v>
      </c>
    </row>
    <row r="7" spans="1:4" x14ac:dyDescent="0.3">
      <c r="A7" s="6" t="s">
        <v>20</v>
      </c>
      <c r="B7" s="6">
        <v>18.963423401021601</v>
      </c>
      <c r="C7" s="6">
        <v>72.844564606079601</v>
      </c>
      <c r="D7" s="6" t="s">
        <v>21</v>
      </c>
    </row>
    <row r="8" spans="1:4" x14ac:dyDescent="0.3">
      <c r="A8" s="6" t="s">
        <v>22</v>
      </c>
      <c r="B8" s="6">
        <v>18.945615700000001</v>
      </c>
      <c r="C8" s="6">
        <v>72.823816199999996</v>
      </c>
      <c r="D8" s="6" t="s">
        <v>23</v>
      </c>
    </row>
    <row r="9" spans="1:4" x14ac:dyDescent="0.3">
      <c r="A9" s="6" t="s">
        <v>24</v>
      </c>
      <c r="B9" s="6">
        <v>18.969005605477101</v>
      </c>
      <c r="C9" s="6">
        <v>72.818725814261001</v>
      </c>
      <c r="D9" s="6" t="s">
        <v>25</v>
      </c>
    </row>
    <row r="10" spans="1:4" x14ac:dyDescent="0.3">
      <c r="A10" s="6" t="s">
        <v>26</v>
      </c>
      <c r="B10" s="6">
        <v>18.976621900000001</v>
      </c>
      <c r="C10" s="6">
        <v>72.832793600000002</v>
      </c>
      <c r="D10" s="6" t="s">
        <v>27</v>
      </c>
    </row>
    <row r="11" spans="1:4" x14ac:dyDescent="0.3">
      <c r="A11" s="6" t="s">
        <v>30</v>
      </c>
      <c r="B11" s="6">
        <v>19.0274356</v>
      </c>
      <c r="C11" s="6">
        <v>72.850146699999996</v>
      </c>
      <c r="D11" s="6" t="s">
        <v>31</v>
      </c>
    </row>
    <row r="12" spans="1:4" x14ac:dyDescent="0.3">
      <c r="A12" s="6" t="s">
        <v>28</v>
      </c>
      <c r="B12" s="6">
        <v>19.009481699999998</v>
      </c>
      <c r="C12" s="6">
        <v>72.837661400000002</v>
      </c>
      <c r="D12" s="6" t="s">
        <v>29</v>
      </c>
    </row>
    <row r="13" spans="1:4" x14ac:dyDescent="0.3">
      <c r="A13" s="6" t="s">
        <v>34</v>
      </c>
      <c r="B13" s="6">
        <v>19.005466599999998</v>
      </c>
      <c r="C13" s="6">
        <v>72.839951499999998</v>
      </c>
      <c r="D13" s="6" t="s">
        <v>35</v>
      </c>
    </row>
    <row r="14" spans="1:4" x14ac:dyDescent="0.3">
      <c r="A14" s="6" t="s">
        <v>32</v>
      </c>
      <c r="B14" s="6">
        <v>18.947938400000002</v>
      </c>
      <c r="C14" s="6">
        <v>72.840644800000007</v>
      </c>
      <c r="D14" s="6" t="s">
        <v>33</v>
      </c>
    </row>
    <row r="15" spans="1:4" x14ac:dyDescent="0.3">
      <c r="A15" s="6" t="s">
        <v>36</v>
      </c>
      <c r="B15" s="6">
        <v>19.084002231640401</v>
      </c>
      <c r="C15" s="6">
        <v>72.859317425939693</v>
      </c>
      <c r="D15" s="6" t="s">
        <v>37</v>
      </c>
    </row>
    <row r="16" spans="1:4" x14ac:dyDescent="0.3">
      <c r="A16" s="6" t="s">
        <v>38</v>
      </c>
      <c r="B16" s="6">
        <v>19.054979199999998</v>
      </c>
      <c r="C16" s="6">
        <v>72.840220299999999</v>
      </c>
      <c r="D16" s="6" t="s">
        <v>39</v>
      </c>
    </row>
    <row r="17" spans="1:4" x14ac:dyDescent="0.3">
      <c r="A17" s="6" t="s">
        <v>40</v>
      </c>
      <c r="B17" s="6">
        <v>19.119060449999999</v>
      </c>
      <c r="C17" s="6">
        <v>72.848191663200595</v>
      </c>
      <c r="D17" s="6" t="s">
        <v>41</v>
      </c>
    </row>
    <row r="18" spans="1:4" x14ac:dyDescent="0.3">
      <c r="A18" s="6" t="s">
        <v>42</v>
      </c>
      <c r="B18" s="6">
        <v>19.119311750000001</v>
      </c>
      <c r="C18" s="6">
        <v>72.8458690809139</v>
      </c>
      <c r="D18" s="6" t="s">
        <v>43</v>
      </c>
    </row>
    <row r="19" spans="1:4" x14ac:dyDescent="0.3">
      <c r="A19" s="6" t="s">
        <v>44</v>
      </c>
      <c r="B19" s="6">
        <v>19.062995399999998</v>
      </c>
      <c r="C19" s="6">
        <v>72.884713599999998</v>
      </c>
      <c r="D19" s="6" t="s">
        <v>45</v>
      </c>
    </row>
    <row r="20" spans="1:4" x14ac:dyDescent="0.3">
      <c r="A20" s="6" t="s">
        <v>46</v>
      </c>
      <c r="B20" s="6">
        <v>19.075323399999998</v>
      </c>
      <c r="C20" s="6">
        <v>72.872755799999993</v>
      </c>
      <c r="D20" s="6" t="s">
        <v>47</v>
      </c>
    </row>
    <row r="21" spans="1:4" x14ac:dyDescent="0.3">
      <c r="A21" s="6" t="s">
        <v>48</v>
      </c>
      <c r="B21" s="6">
        <v>19.075323399999998</v>
      </c>
      <c r="C21" s="6">
        <v>72.872755799999993</v>
      </c>
      <c r="D21" s="6" t="s">
        <v>49</v>
      </c>
    </row>
    <row r="22" spans="1:4" x14ac:dyDescent="0.3">
      <c r="A22" s="6" t="s">
        <v>50</v>
      </c>
      <c r="B22" s="6">
        <v>19.0859539</v>
      </c>
      <c r="C22" s="6">
        <v>72.908238100000005</v>
      </c>
      <c r="D22" s="6" t="s">
        <v>51</v>
      </c>
    </row>
    <row r="23" spans="1:4" x14ac:dyDescent="0.3">
      <c r="A23" s="6" t="s">
        <v>54</v>
      </c>
      <c r="B23" s="6">
        <v>19.184677099999998</v>
      </c>
      <c r="C23" s="6">
        <v>72.8358068</v>
      </c>
      <c r="D23" s="6" t="s">
        <v>55</v>
      </c>
    </row>
    <row r="24" spans="1:4" x14ac:dyDescent="0.3">
      <c r="A24" s="6" t="s">
        <v>52</v>
      </c>
      <c r="B24" s="6">
        <v>19.1647526</v>
      </c>
      <c r="C24" s="6">
        <v>72.850017600000001</v>
      </c>
      <c r="D24" s="6" t="s">
        <v>53</v>
      </c>
    </row>
    <row r="25" spans="1:4" x14ac:dyDescent="0.3">
      <c r="A25" s="6" t="s">
        <v>58</v>
      </c>
      <c r="B25" s="6">
        <v>19.228551599999999</v>
      </c>
      <c r="C25" s="6">
        <v>72.8521468</v>
      </c>
      <c r="D25" s="6" t="s">
        <v>59</v>
      </c>
    </row>
    <row r="26" spans="1:4" x14ac:dyDescent="0.3">
      <c r="A26" s="6" t="s">
        <v>60</v>
      </c>
      <c r="B26" s="6">
        <v>19.269947047139802</v>
      </c>
      <c r="C26" s="6">
        <v>72.854929882120899</v>
      </c>
      <c r="D26" s="6" t="s">
        <v>61</v>
      </c>
    </row>
    <row r="27" spans="1:4" x14ac:dyDescent="0.3">
      <c r="A27" s="6" t="s">
        <v>56</v>
      </c>
      <c r="B27" s="6">
        <v>19.214285991156</v>
      </c>
      <c r="C27" s="6">
        <v>72.886561501352801</v>
      </c>
      <c r="D27" s="6" t="s">
        <v>57</v>
      </c>
    </row>
    <row r="28" spans="1:4" x14ac:dyDescent="0.3">
      <c r="A28" s="6" t="s">
        <v>62</v>
      </c>
      <c r="B28" s="6">
        <v>19.143868399999999</v>
      </c>
      <c r="C28" s="6">
        <v>72.938432700000007</v>
      </c>
      <c r="D28" s="6" t="s">
        <v>63</v>
      </c>
    </row>
    <row r="29" spans="1:4" x14ac:dyDescent="0.3">
      <c r="A29" s="6" t="s">
        <v>64</v>
      </c>
      <c r="B29" s="6">
        <v>19.172290400000001</v>
      </c>
      <c r="C29" s="6">
        <v>72.956469499999997</v>
      </c>
      <c r="D29" s="6" t="s">
        <v>65</v>
      </c>
    </row>
  </sheetData>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F7C9EE02-42E1-4005-9D12-6889AFFD525C}">
      <x15:webExtensions xmlns:xm="http://schemas.microsoft.com/office/excel/2006/main">
        <x15:webExtension appRef="{2EC998ED-275D-43D3-A356-883C082A5930}">
          <xm:f>Dashboard!$A$5:$C$29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C3" sqref="C3"/>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CommonToolsData xmlns="Mapcite">
  <Data>{"AppConfig":[{"ConfigTitle":"MultiDataAndStyle","ConfigWebTitle":"ConfigTitle","startLagitude":42.55,"startLongitude":-99.2,"startZoom":4,"MaxZoom":10,"ExtentExportCounter":1,"DataArray":[{"title":"Dashboard","ZIndex":15,"data":"{\"address\":\"Dashboard!A5:C29\",\"id\":\"{8AA0AD9B-1EDE-4569-9AF6-DE39293C96C6}\",\"DataRows\":[],\"rowIndex\":4,\"columnIndex\":0,\"rowCount\":25,\"columnCount\":3,\"longitude\":\"2\",\"latitude\":\"1\",\"Header\":true,\"DatasetTitle\":\"Dashboard\",\"Properties\":[],\"Heatmap\":false,\"HeatmapWeighting\":null,\"HeatmapIntensity\":0.5,\"HeatmapOpacity\":8,\"visible\":true,\"clustering\":true,\"clisterDistance\":40,\"Stroke\":\"#000000\",\"strokeSize\":\"2\",\"Points\":\"20\",\"Fill\":\"#ff0000\",\"Size\":\"10\",\"icon\":true,\"Image\":\"Red.png\",\"autoOpen\":false}","dataformat":"EXCEL","id":1,"style":{"fillColor":"rgba(255,0,0, 0.5)","strokeColor":"rgba(0,0,0, 0.5)","strokeWidth":"2","points":"20","radius":"10","icon":true,"iconType":"image","iconPath":"../Images/Red.png"},"LayerKey":"b4xlwa83nyvqaq5znwb5fe","feature":"{\"type\": \"FeatureCollection\",\"features\": [{\"type\": \"Feature\", \"geometry\": { \"type\": \"Point\", \"coordinates\":  [ 72.8272211,18.9169893]  },\"properties\": {\"metadata\": {\"Sheet\" : \"Dashboard\", \"SheetId\" : \"{8AA0AD9B-1EDE-4569-9AF6-DE39293C96C6}\", \"Column\" : \"A\", \"Row\" : \"6\", \"latitude\" : \"1\", \"longitude\" : \"2\"},\"Title\" : \"Dashboard\"}},{\"type\": \"Feature\", \"geometry\": { \"type\": \"Point\", \"coordinates\":  [ 72.8445646060796,18.9634234010216]  },\"properties\": {\"metadata\": {\"Sheet\" : \"Dashboard\", \"SheetId\" : \"{8AA0AD9B-1EDE-4569-9AF6-DE39293C96C6}\", \"Column\" : \"A\", \"Row\" : \"7\", \"latitude\" : \"1\", \"longitude\" : \"2\"},\"Title\" : \"Dashboard\"}},{\"type\": \"Feature\", \"geometry\": { \"type\": \"Point\", \"coordinates\":  [ 72.8238162,18.9456157]  },\"properties\": {\"metadata\": {\"Sheet\" : \"Dashboard\", \"SheetId\" : \"{8AA0AD9B-1EDE-4569-9AF6-DE39293C96C6}\", \"Column\" : \"A\", \"Row\" : \"8\", \"latitude\" : \"1\", \"longitude\" : \"2\"},\"Title\" : \"Dashboard\"}},{\"type\": \"Feature\", \"geometry\": { \"type\": \"Point\", \"coordinates\":  [ 72.818725814261,18.9690056054771]  },\"properties\": {\"metadata\": {\"Sheet\" : \"Dashboard\", \"SheetId\" : \"{8AA0AD9B-1EDE-4569-9AF6-DE39293C96C6}\", \"Column\" : \"A\", \"Row\" : \"9\", \"latitude\" : \"1\", \"longitude\" : \"2\"},\"Title\" : \"Dashboard\"}},{\"type\": \"Feature\", \"geometry\": { \"type\": \"Point\", \"coordinates\":  [ 72.8327936,18.9766219]  },\"properties\": {\"metadata\": {\"Sheet\" : \"Dashboard\", \"SheetId\" : \"{8AA0AD9B-1EDE-4569-9AF6-DE39293C96C6}\", \"Column\" : \"A\", \"Row\" : \"10\", \"latitude\" : \"1\", \"longitude\" : \"2\"},\"Title\" : \"Dashboard\"}},{\"type\": \"Feature\", \"geometry\": { \"type\": \"Point\", \"coordinates\":  [ 72.8501467,19.0274356]  },\"properties\": {\"metadata\": {\"Sheet\" : \"Dashboard\", \"SheetId\" : \"{8AA0AD9B-1EDE-4569-9AF6-DE39293C96C6}\", \"Column\" : \"A\", \"Row\" : \"11\", \"latitude\" : \"1\", \"longitude\" : \"2\"},\"Title\" : \"Dashboard\"}},{\"type\": \"Feature\", \"geometry\": { \"type\": \"Point\", \"coordinates\":  [ 72.8376614,19.0094817]  },\"properties\": {\"metadata\": {\"Sheet\" : \"Dashboard\", \"SheetId\" : \"{8AA0AD9B-1EDE-4569-9AF6-DE39293C96C6}\", \"Column\" : \"A\", \"Row\" : \"12\", \"latitude\" : \"1\", \"longitude\" : \"2\"},\"Title\" : \"Dashboard\"}},{\"type\": \"Feature\", \"geometry\": { \"type\": \"Point\", \"coordinates\":  [ 72.8399515,19.0054666]  },\"properties\": {\"metadata\": {\"Sheet\" : \"Dashboard\", \"SheetId\" : \"{8AA0AD9B-1EDE-4569-9AF6-DE39293C96C6}\", \"Column\" : \"A\", \"Row\" : \"13\", \"latitude\" : \"1\", \"longitude\" : \"2\"},\"Title\" : \"Dashboard\"}},{\"type\": \"Feature\", \"geometry\": { \"type\": \"Point\", \"coordinates\":  [ 72.8406448,18.9479384]  },\"properties\": {\"metadata\": {\"Sheet\" : \"Dashboard\", \"SheetId\" : \"{8AA0AD9B-1EDE-4569-9AF6-DE39293C96C6}\", \"Column\" : \"A\", \"Row\" : \"14\", \"latitude\" : \"1\", \"longitude\" : \"2\"},\"Title\" : \"Dashboard\"}},{\"type\": \"Feature\", \"geometry\": { \"type\": \"Point\", \"coordinates\":  [ 72.8593174259397,19.0840022316404]  },\"properties\": {\"metadata\": {\"Sheet\" : \"Dashboard\", \"SheetId\" : \"{8AA0AD9B-1EDE-4569-9AF6-DE39293C96C6}\", \"Column\" : \"A\", \"Row\" : \"15\", \"latitude\" : \"1\", \"longitude\" : \"2\"},\"Title\" : \"Dashboard\"}},{\"type\": \"Feature\", \"geometry\": { \"type\": \"Point\", \"coordinates\":  [ 72.8402203,19.0549792]  },\"properties\": {\"metadata\": {\"Sheet\" : \"Dashboard\", \"SheetId\" : \"{8AA0AD9B-1EDE-4569-9AF6-DE39293C96C6}\", \"Column\" : \"A\", \"Row\" : \"16\", \"latitude\" : \"1\", \"longitude\" : \"2\"},\"Title\" : \"Dashboard\"}},{\"type\": \"Feature\", \"geometry\": { \"type\": \"Point\", \"coordinates\":  [ 72.8481916632006,19.11906045]  },\"properties\": {\"metadata\": {\"Sheet\" : \"Dashboard\", \"SheetId\" : \"{8AA0AD9B-1EDE-4569-9AF6-DE39293C96C6}\", \"Column\" : \"A\", \"Row\" : \"17\", \"latitude\" : \"1\", \"longitude\" : \"2\"},\"Title\" : \"Dashboard\"}},{\"type\": \"Feature\", \"geometry\": { \"type\": \"Point\", \"coordinates\":  [ 72.8458690809139,19.11931175]  },\"properties\": {\"metadata\": {\"Sheet\" : \"Dashboard\", \"SheetId\" : \"{8AA0AD9B-1EDE-4569-9AF6-DE39293C96C6}\", \"Column\" : \"A\", \"Row\" : \"18\", \"latitude\" : \"1\", \"longitude\" : \"2\"},\"Title\" : \"Dashboard\"}},{\"type\": \"Feature\", \"geometry\": { \"type\": \"Point\", \"coordinates\":  [ 72.8847136,19.0629954]  },\"properties\": {\"metadata\": {\"Sheet\" : \"Dashboard\", \"SheetId\" : \"{8AA0AD9B-1EDE-4569-9AF6-DE39293C96C6}\", \"Column\" : \"A\", \"Row\" : \"19\", \"latitude\" : \"1\", \"longitude\" : \"2\"},\"Title\" : \"Dashboard\"}},{\"type\": \"Feature\", \"geometry\": { \"type\": \"Point\", \"coordinates\":  [ 72.8727558,19.0753234]  },\"properties\": {\"metadata\": {\"Sheet\" : \"Dashboard\", \"SheetId\" : \"{8AA0AD9B-1EDE-4569-9AF6-DE39293C96C6}\", \"Column\" : \"A\", \"Row\" : \"20\", \"latitude\" : \"1\", \"longitude\" : \"2\"},\"Title\" : \"Dashboard\"}},{\"type\": \"Feature\", \"geometry\": { \"type\": \"Point\", \"coordinates\":  [ 72.8727558,19.0753234]  },\"properties\": {\"metadata\": {\"Sheet\" : \"Dashboard\", \"SheetId\" : \"{8AA0AD9B-1EDE-4569-9AF6-DE39293C96C6}\", \"Column\" : \"A\", \"Row\" : \"21\", \"latitude\" : \"1\", \"longitude\" : \"2\"},\"Title\" : \"Dashboard\"}},{\"type\": \"Feature\", \"geometry\": { \"type\": \"Point\", \"coordinates\":  [ 72.9082381,19.0859539]  },\"properties\": {\"metadata\": {\"Sheet\" : \"Dashboard\", \"SheetId\" : \"{8AA0AD9B-1EDE-4569-9AF6-DE39293C96C6}\", \"Column\" : \"A\", \"Row\" : \"22\", \"latitude\" : \"1\", \"longitude\" : \"2\"},\"Title\" : \"Dashboard\"}},{\"type\": \"Feature\", \"geometry\": { \"type\": \"Point\", \"coordinates\":  [ 72.8358068,19.1846771]  },\"properties\": {\"metadata\": {\"Sheet\" : \"Dashboard\", \"SheetId\" : \"{8AA0AD9B-1EDE-4569-9AF6-DE39293C96C6}\", \"Column\" : \"A\", \"Row\" : \"23\", \"latitude\" : \"1\", \"longitude\" : \"2\"},\"Title\" : \"Dashboard\"}},{\"type\": \"Feature\", \"geometry\": { \"type\": \"Point\", \"coordinates\":  [ 72.8500176,19.1647526]  },\"properties\": {\"metadata\": {\"Sheet\" : \"Dashboard\", \"SheetId\" : \"{8AA0AD9B-1EDE-4569-9AF6-DE39293C96C6}\", \"Column\" : \"A\", \"Row\" : \"24\", \"latitude\" : \"1\", \"longitude\" : \"2\"},\"Title\" : \"Dashboard\"}},{\"type\": \"Feature\", \"geometry\": { \"type\": \"Point\", \"coordinates\":  [ 72.8521468,19.2285516]  },\"properties\": {\"metadata\": {\"Sheet\" : \"Dashboard\", \"SheetId\" : \"{8AA0AD9B-1EDE-4569-9AF6-DE39293C96C6}\", \"Column\" : \"A\", \"Row\" : \"25\", \"latitude\" : \"1\", \"longitude\" : \"2\"},\"Title\" : \"Dashboard\"}},{\"type\": \"Feature\", \"geometry\": { \"type\": \"Point\", \"coordinates\":  [ 72.8549298821209,19.2699470471398]  },\"properties\": {\"metadata\": {\"Sheet\" : \"Dashboard\", \"SheetId\" : \"{8AA0AD9B-1EDE-4569-9AF6-DE39293C96C6}\", \"Column\" : \"A\", \"Row\" : \"26\", \"latitude\" : \"1\", \"longitude\" : \"2\"},\"Title\" : \"Dashboard\"}},{\"type\": \"Feature\", \"geometry\": { \"type\": \"Point\", \"coordinates\":  [ 72.8865615013528,19.214285991156]  },\"properties\": {\"metadata\": {\"Sheet\" : \"Dashboard\", \"SheetId\" : \"{8AA0AD9B-1EDE-4569-9AF6-DE39293C96C6}\", \"Column\" : \"A\", \"Row\" : \"27\", \"latitude\" : \"1\", \"longitude\" : \"2\"},\"Title\" : \"Dashboard\"}},{\"type\": \"Feature\", \"geometry\": { \"type\": \"Point\", \"coordinates\":  [ 72.9384327,19.1438684]  },\"properties\": {\"metadata\": {\"Sheet\" : \"Dashboard\", \"SheetId\" : \"{8AA0AD9B-1EDE-4569-9AF6-DE39293C96C6}\", \"Column\" : \"A\", \"Row\" : \"28\", \"latitude\" : \"1\", \"longitude\" : \"2\"},\"Title\" : \"Dashboard\"}},{\"type\": \"Feature\", \"geometry\": { \"type\": \"Point\", \"coordinates\":  [ 72.9564695,19.1722904]  },\"properties\": {\"metadata\": {\"Sheet\" : \"Dashboard\", \"SheetId\" : \"{8AA0AD9B-1EDE-4569-9AF6-DE39293C96C6}\", \"Column\" : \"A\", \"Row\" : \"29\", \"latitude\" : \"1\", \"longitude\" : \"2\"},\"Title\" : \"Dashboard\"}}]}"}]}]}</Data>
</CommonToolsData>
</file>

<file path=customXml/itemProps1.xml><?xml version="1.0" encoding="utf-8"?>
<ds:datastoreItem xmlns:ds="http://schemas.openxmlformats.org/officeDocument/2006/customXml" ds:itemID="{23D50C60-5C2B-4BC4-8DB1-8A613D451066}">
  <ds:schemaRefs>
    <ds:schemaRef ds:uri="http://schemas.microsoft.com/DataMashup"/>
  </ds:schemaRefs>
</ds:datastoreItem>
</file>

<file path=customXml/itemProps2.xml><?xml version="1.0" encoding="utf-8"?>
<ds:datastoreItem xmlns:ds="http://schemas.openxmlformats.org/officeDocument/2006/customXml" ds:itemID="{E59AF2A3-E528-4EB3-A7FE-D9B2D950EAC4}">
  <ds:schemaRefs>
    <ds:schemaRef ds:uri="Mapci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input_file_v1_dashboard</vt:lpstr>
      <vt:lpstr>Cases against Density</vt:lpstr>
      <vt:lpstr>Sheet9</vt:lpstr>
      <vt:lpstr>Mumbai Heat Map Data</vt:lpstr>
      <vt:lpstr>Dashboard</vt:lpstr>
      <vt:lpstr>MapPrint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HawK</dc:creator>
  <cp:lastModifiedBy>HawK</cp:lastModifiedBy>
  <dcterms:created xsi:type="dcterms:W3CDTF">2020-04-18T20:37:06Z</dcterms:created>
  <dcterms:modified xsi:type="dcterms:W3CDTF">2020-04-18T21:00:48Z</dcterms:modified>
</cp:coreProperties>
</file>